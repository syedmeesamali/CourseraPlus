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repos\CourseraPlus\0_CERTIFICATES\"/>
    </mc:Choice>
  </mc:AlternateContent>
  <xr:revisionPtr revIDLastSave="0" documentId="13_ncr:1_{1A26CF18-8858-4826-A99C-616578A9470E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urseraPlus_02" sheetId="6" r:id="rId1"/>
    <sheet name="CourseraPlus_Prev_01" sheetId="5" state="hidden" r:id="rId2"/>
    <sheet name="LinkedIn_Learning" sheetId="4" r:id="rId3"/>
    <sheet name="Coursera Records_" sheetId="7" r:id="rId4"/>
    <sheet name="Old_REF" sheetId="3" state="hidden" r:id="rId5"/>
  </sheets>
  <definedNames>
    <definedName name="_xlnm._FilterDatabase" localSheetId="0" hidden="1">CourseraPlus_02!$B$4:$H$8</definedName>
    <definedName name="_xlnm._FilterDatabase" localSheetId="1" hidden="1">CourseraPlus_Prev_01!$B$4:$H$8</definedName>
    <definedName name="_xlnm._FilterDatabase" localSheetId="2" hidden="1">LinkedIn_Learning!$B$4:$G$34</definedName>
    <definedName name="_xlnm._FilterDatabase" localSheetId="4" hidden="1">Old_REF!$B$4:$H$8</definedName>
    <definedName name="_xlnm.Print_Area" localSheetId="0">CourseraPlus_02!$A$1:$H$27</definedName>
    <definedName name="_xlnm.Print_Area" localSheetId="1">CourseraPlus_Prev_01!$A$1:$H$27</definedName>
    <definedName name="_xlnm.Print_Area" localSheetId="4">Old_REF!$A$1:$H$22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79" i="6" l="1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B6" i="6"/>
  <c r="B7" i="6" s="1"/>
  <c r="B8" i="6" s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H70" i="5"/>
  <c r="H69" i="5"/>
  <c r="H68" i="5"/>
  <c r="H39" i="5"/>
  <c r="H38" i="5"/>
  <c r="H80" i="5"/>
  <c r="H79" i="5"/>
  <c r="H40" i="5"/>
  <c r="H78" i="5"/>
  <c r="H77" i="5"/>
  <c r="H76" i="5"/>
  <c r="H75" i="5"/>
  <c r="H74" i="5"/>
  <c r="H73" i="5"/>
  <c r="H72" i="5"/>
  <c r="H71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37" i="5"/>
  <c r="H36" i="5"/>
  <c r="H35" i="5"/>
  <c r="H34" i="5"/>
  <c r="H33" i="5"/>
  <c r="H32" i="5"/>
  <c r="H31" i="5"/>
  <c r="H30" i="5"/>
  <c r="H29" i="5"/>
  <c r="H28" i="5"/>
  <c r="H27" i="5"/>
  <c r="H26" i="5"/>
  <c r="B6" i="5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6" i="3"/>
  <c r="B7" i="3" s="1"/>
  <c r="B8" i="3" s="1"/>
  <c r="B26" i="6" l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B54" i="6" s="1"/>
  <c r="B55" i="6" s="1"/>
  <c r="B56" i="6" s="1"/>
  <c r="B57" i="6" s="1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B68" i="6" s="1"/>
  <c r="B69" i="6" s="1"/>
  <c r="B70" i="6" s="1"/>
  <c r="B71" i="6" s="1"/>
  <c r="B72" i="6" s="1"/>
  <c r="B73" i="6" s="1"/>
  <c r="B74" i="6" s="1"/>
  <c r="B75" i="6" s="1"/>
  <c r="B76" i="6" s="1"/>
  <c r="B77" i="6" s="1"/>
  <c r="B78" i="6" s="1"/>
  <c r="B79" i="6" s="1"/>
  <c r="B21" i="5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B9" i="3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" i="4"/>
  <c r="B8" i="4" s="1"/>
  <c r="B9" i="4" l="1"/>
  <c r="B10" i="4" s="1"/>
  <c r="B11" i="4" s="1"/>
  <c r="B12" i="4" s="1"/>
  <c r="B13" i="4" s="1"/>
  <c r="B14" i="4" s="1"/>
  <c r="B15" i="4" s="1"/>
  <c r="B16" i="4" l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22" i="5" l="1"/>
  <c r="B23" i="5" l="1"/>
  <c r="B24" i="5" l="1"/>
  <c r="B25" i="5" l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</calcChain>
</file>

<file path=xl/sharedStrings.xml><?xml version="1.0" encoding="utf-8"?>
<sst xmlns="http://schemas.openxmlformats.org/spreadsheetml/2006/main" count="1236" uniqueCount="327">
  <si>
    <t>COURSERA Plus Courses</t>
  </si>
  <si>
    <t>(USD 59 / month subscription)</t>
  </si>
  <si>
    <t>Updated:</t>
  </si>
  <si>
    <t>Sr. #</t>
  </si>
  <si>
    <t>Course Name</t>
  </si>
  <si>
    <t>Topic</t>
  </si>
  <si>
    <t>Completed On</t>
  </si>
  <si>
    <t>Year</t>
  </si>
  <si>
    <t>%age</t>
  </si>
  <si>
    <t>Comments</t>
  </si>
  <si>
    <t>Programming for Everybody (Getting started with Python)</t>
  </si>
  <si>
    <t>Programming</t>
  </si>
  <si>
    <t>How Google does Machine Learning</t>
  </si>
  <si>
    <t>ML</t>
  </si>
  <si>
    <t>Applied Machine Learning in Python</t>
  </si>
  <si>
    <t>Machine Learning: an overview</t>
  </si>
  <si>
    <t>Machine Learning: Classification</t>
  </si>
  <si>
    <t>-</t>
  </si>
  <si>
    <t>Robotics: Aerial Robotics</t>
  </si>
  <si>
    <t>Robotics</t>
  </si>
  <si>
    <t>Machine Learning Foundations: A Case Study Approach</t>
  </si>
  <si>
    <t>Mathematics for Machine Learning: Linear Algebra</t>
  </si>
  <si>
    <t>Building Interactive Web Pages Using Modern JavaScript</t>
  </si>
  <si>
    <t>Machine Learning: Regression</t>
  </si>
  <si>
    <t>Launching into Machine Learning</t>
  </si>
  <si>
    <t>Modern Robotics, Course 1: Foundations of Robot Motion</t>
  </si>
  <si>
    <t>Applied Text Mining in Python</t>
  </si>
  <si>
    <t>Getting started with TensorFlow 2</t>
  </si>
  <si>
    <t>Intro to AR/VR/MR/XR: Technologies, Applications &amp; Issues</t>
  </si>
  <si>
    <t>VR</t>
  </si>
  <si>
    <t>Building Arduino robots and devices</t>
  </si>
  <si>
    <t>Started:</t>
  </si>
  <si>
    <t>2022 - 02 - 22</t>
  </si>
  <si>
    <t>Introduction to C# Programming and Unity</t>
  </si>
  <si>
    <t>Games</t>
  </si>
  <si>
    <t>More C# Programming and Unity</t>
  </si>
  <si>
    <t>Foundations: Data, Data, Everywhere</t>
  </si>
  <si>
    <t>Data</t>
  </si>
  <si>
    <t>Machine Teaching for Autonomous AI</t>
  </si>
  <si>
    <t>Construction Cost Estimating and Cost Control</t>
  </si>
  <si>
    <t>Civil</t>
  </si>
  <si>
    <t>Construction Project Management</t>
  </si>
  <si>
    <t>2023-07-02</t>
  </si>
  <si>
    <t>C Programming : Language Foundations 2</t>
  </si>
  <si>
    <t>2023-08-31</t>
  </si>
  <si>
    <t>C Programming : Getting Started - 1</t>
  </si>
  <si>
    <t>2023-10-24</t>
  </si>
  <si>
    <t>C Programming : Modular Programming</t>
  </si>
  <si>
    <t>2023-12-30</t>
  </si>
  <si>
    <t>Introduction to AI and Machine Learning on Google Cloud</t>
  </si>
  <si>
    <t>2024-01-07</t>
  </si>
  <si>
    <t>C Programming : Pointers &amp; Memory Management - 4</t>
  </si>
  <si>
    <t>2024-03-06</t>
  </si>
  <si>
    <t>Linux System Programming and Introduction to Buildroot</t>
  </si>
  <si>
    <t>Linux</t>
  </si>
  <si>
    <t>Construction Scheduling</t>
  </si>
  <si>
    <t>Palo Alto Networks Cloud Security Fundamentals</t>
  </si>
  <si>
    <t>Cybersecurity</t>
  </si>
  <si>
    <t>Introduction to Computers and Operating Systems and Security</t>
  </si>
  <si>
    <t>Google Cloud Big Data and Machine Learning Fundamentals</t>
  </si>
  <si>
    <t>Introduction to Embedded Machine Learning</t>
  </si>
  <si>
    <t>Embedded</t>
  </si>
  <si>
    <t>CompTIA a+ Cyber</t>
  </si>
  <si>
    <t>Linux Embedded System Topics &amp; Projects</t>
  </si>
  <si>
    <t>Tools of Trade: Linux and SQL</t>
  </si>
  <si>
    <t>Security</t>
  </si>
  <si>
    <t>Enterprise System Management and Security</t>
  </si>
  <si>
    <t>Fundamentals of Network Communication</t>
  </si>
  <si>
    <t>Palo Alto Networks Cybersecurity Foundation</t>
  </si>
  <si>
    <t>Introduction to Calculus</t>
  </si>
  <si>
    <t>Maths</t>
  </si>
  <si>
    <t>Developing Applications with Cloud Run on Google Cloud: Fundamentals</t>
  </si>
  <si>
    <t>Cloud</t>
  </si>
  <si>
    <t>C# Class Development</t>
  </si>
  <si>
    <t>Computer Vision Basics</t>
  </si>
  <si>
    <t>Vision</t>
  </si>
  <si>
    <t>Internet of things: Setting up Dragonboard platform</t>
  </si>
  <si>
    <t>Regression Analysis</t>
  </si>
  <si>
    <t>Drones for environmental science</t>
  </si>
  <si>
    <t>Process mining: Data science in action</t>
  </si>
  <si>
    <t>Computer Science: Algorithms, Theory and Machines</t>
  </si>
  <si>
    <t>CS</t>
  </si>
  <si>
    <t>Wireless Communications for Everybody</t>
  </si>
  <si>
    <t>Electrical</t>
  </si>
  <si>
    <t>Google cloud fundamentals: Core Infrastructure</t>
  </si>
  <si>
    <t>Preparing data for analysis with Microsoft Excel</t>
  </si>
  <si>
    <t>Linear Algebra: Linear Systems and Matrix Equations</t>
  </si>
  <si>
    <t>Transformer Models and BERT Model</t>
  </si>
  <si>
    <t>Deep Learning with PyTorch : Image Segmentation</t>
  </si>
  <si>
    <t>IoT Communications and Networks</t>
  </si>
  <si>
    <t>Introduction to Data Science in Python</t>
  </si>
  <si>
    <t>Basic Robotic Behaviors and Odometry</t>
  </si>
  <si>
    <t>Robotic Path Planning and Task Execution</t>
  </si>
  <si>
    <t>Probability Theory: Foundation for Data Science</t>
  </si>
  <si>
    <t>Data Science Math Skills</t>
  </si>
  <si>
    <t>Engineering of structures: Tension</t>
  </si>
  <si>
    <t>The Arduino Platform and C Programming</t>
  </si>
  <si>
    <t>Differential equations for engineers</t>
  </si>
  <si>
    <t>Engineering of structures: Response of structures</t>
  </si>
  <si>
    <t>Matrix algebra for engineers</t>
  </si>
  <si>
    <t>2024 - 04 - 04</t>
  </si>
  <si>
    <t>LinkedIn Learning COURSES</t>
  </si>
  <si>
    <t>Cert Prep ISC2 Certified in Cybersecurity CC</t>
  </si>
  <si>
    <t>Collaborating with Microsoft 365</t>
  </si>
  <si>
    <t>Construction Management Planning and Scheduling</t>
  </si>
  <si>
    <t>Cybersecurity Awareness Cybersecurity Terminology</t>
  </si>
  <si>
    <t>Cybersecurity Foundations Governance Risk and Compliance GRC</t>
  </si>
  <si>
    <t>Introduction to Artificial Intelligence</t>
  </si>
  <si>
    <t>Introduction to Career Skills in Data Analytics</t>
  </si>
  <si>
    <t>Managing Projects with Microsoft 365</t>
  </si>
  <si>
    <t>On the Job Site Construction</t>
  </si>
  <si>
    <t>Project Management Skills for Leaders</t>
  </si>
  <si>
    <t>Quality Management for Operational Excellence</t>
  </si>
  <si>
    <t>Quality Management Foundations</t>
  </si>
  <si>
    <t>Skills for Your First 90 Days as a New Manager</t>
  </si>
  <si>
    <t>SOC 2 Compliance Essential Training</t>
  </si>
  <si>
    <t>Office</t>
  </si>
  <si>
    <t>AI</t>
  </si>
  <si>
    <t>Data Science</t>
  </si>
  <si>
    <t>Project Management</t>
  </si>
  <si>
    <t>2024 - 03 - 19</t>
  </si>
  <si>
    <t>2023 - 07 - 04</t>
  </si>
  <si>
    <t>2024 - 01 - 25</t>
  </si>
  <si>
    <t>2024 - 01 - 17</t>
  </si>
  <si>
    <t>2024 - 03 - 23</t>
  </si>
  <si>
    <t>2024 - 02 - 03</t>
  </si>
  <si>
    <t>2023 - 05 - 09</t>
  </si>
  <si>
    <t>2024 - 01 - 18</t>
  </si>
  <si>
    <t>2024 - 03 - 16</t>
  </si>
  <si>
    <t>2024 - 02 - 20</t>
  </si>
  <si>
    <t>2024 - 02 - 08</t>
  </si>
  <si>
    <t>2024 - 02 - 26</t>
  </si>
  <si>
    <t>2024 - 04 - 01</t>
  </si>
  <si>
    <t>2024 - 01 - 08</t>
  </si>
  <si>
    <t>Google Cloud Digital Cloud Leader Cert Prep: 3 Innovating with Google Cloud Artificial Intelligence</t>
  </si>
  <si>
    <t>2024 - 04 - 16</t>
  </si>
  <si>
    <t>2024 - 04 - 28</t>
  </si>
  <si>
    <t>Advanced Machine Learning .NET Applications</t>
  </si>
  <si>
    <t>2024 - 04 - 18</t>
  </si>
  <si>
    <t>The Cybersecurity Threat Landscape</t>
  </si>
  <si>
    <t>2024 - 04 - 24</t>
  </si>
  <si>
    <t>Cybersecurity Foundations</t>
  </si>
  <si>
    <t>Ethical Hacking Essentials (EHE)</t>
  </si>
  <si>
    <t>Cybersecurity Foundations for Risk Management</t>
  </si>
  <si>
    <t>Machine Learning and Human Learning</t>
  </si>
  <si>
    <t>Learn Data Storytelling: Power BI Techniques</t>
  </si>
  <si>
    <t>Preparing Data for Analysis with Microsoft Excel</t>
  </si>
  <si>
    <t>CompTIA A Core 1 2201101 Cert Prep 2 CPUs and RAM</t>
  </si>
  <si>
    <t>CompTIA A+</t>
  </si>
  <si>
    <t>2024 - 06 - 18</t>
  </si>
  <si>
    <t>Cybersecurity Awareness Cloud Security</t>
  </si>
  <si>
    <t>C Programming : Advanced Data Types - 5</t>
  </si>
  <si>
    <t>Getting started with Linux Terminal - Project</t>
  </si>
  <si>
    <t>2024-06-29</t>
  </si>
  <si>
    <t>Problem solving across an organization</t>
  </si>
  <si>
    <t>2024 - 06 - 22</t>
  </si>
  <si>
    <t>Primavera P6 Essential Training</t>
  </si>
  <si>
    <t>2024 - 06 - 25</t>
  </si>
  <si>
    <t>Excel with Copilot AIDriven Data Analysis</t>
  </si>
  <si>
    <t>Excel</t>
  </si>
  <si>
    <t>2024 - 06 - 27</t>
  </si>
  <si>
    <t>Managing Information Security Operations</t>
  </si>
  <si>
    <t>2024 - 07 - 03</t>
  </si>
  <si>
    <t>2024-08-25</t>
  </si>
  <si>
    <t>Cybersecurity Awareness - Protect Your Privacy</t>
  </si>
  <si>
    <t>2024 - 08 - 19</t>
  </si>
  <si>
    <t>Applied Cybersecurity Ethics Privacy AI and Emerging Threats</t>
  </si>
  <si>
    <t>Construction Management Foundations</t>
  </si>
  <si>
    <t>2025 - 01 - 05</t>
  </si>
  <si>
    <t>2025 - 01 - 06</t>
  </si>
  <si>
    <t>Construction Management Managing Risk</t>
  </si>
  <si>
    <t>Transitioning to a Career in Cybersecurity</t>
  </si>
  <si>
    <t>BIM Manager Managing CAD Standards</t>
  </si>
  <si>
    <t>Expressway to Datascience - Python programming</t>
  </si>
  <si>
    <t>2025-03-30</t>
  </si>
  <si>
    <t>2025 - 06 - 02</t>
  </si>
  <si>
    <t>Setting a Vision How to Gain Clarity on Your Goals</t>
  </si>
  <si>
    <t>2025 - 04 - 11</t>
  </si>
  <si>
    <t>Practice It C Common Data Structures</t>
  </si>
  <si>
    <t>C++ Programming</t>
  </si>
  <si>
    <t>2025 - 06 - 01</t>
  </si>
  <si>
    <t>Programming with C ++</t>
  </si>
  <si>
    <t>2025-04-24</t>
  </si>
  <si>
    <t>Foundations of Cybersecurity</t>
  </si>
  <si>
    <t>2025-05-17</t>
  </si>
  <si>
    <t>Agentic Artificial Intelligence Harnessing AI Agents to Reinvent Business Work and Life</t>
  </si>
  <si>
    <t>Work Smarter Think Sharper Live Better 15 Tips for Igniting Your Potential</t>
  </si>
  <si>
    <t>2025 - 06 - 24</t>
  </si>
  <si>
    <t>2025 - 07 - 17</t>
  </si>
  <si>
    <t>Fundamentals of Agentic AI Business Implications and Ethical Insights</t>
  </si>
  <si>
    <t>Revit Twinmotion Workflow</t>
  </si>
  <si>
    <t>Excel PivotTables for Beginners</t>
  </si>
  <si>
    <t>Excel Power Pivot for Beginners</t>
  </si>
  <si>
    <t>Leveraging AI for Threat Intelligence</t>
  </si>
  <si>
    <t>Construction Management Concrete Construction</t>
  </si>
  <si>
    <t>2025 - 07 - 22</t>
  </si>
  <si>
    <t>2025 - 08 - 14</t>
  </si>
  <si>
    <t>2025 - 08 - 31</t>
  </si>
  <si>
    <t>2025 - 09 - 22</t>
  </si>
  <si>
    <t>2025 - 10 - 10</t>
  </si>
  <si>
    <t>2025 - 10 - 18</t>
  </si>
  <si>
    <t>Productivity</t>
  </si>
  <si>
    <t>BIM</t>
  </si>
  <si>
    <t>Wind Power Generation</t>
  </si>
  <si>
    <t>2025-12-23</t>
  </si>
  <si>
    <t>2025 - 12 - 23</t>
  </si>
  <si>
    <t>Electrical Systems Panel Boards Frequency Drives and Transformers</t>
  </si>
  <si>
    <t>(USD 16 / month subscription)</t>
  </si>
  <si>
    <t>Product Type</t>
  </si>
  <si>
    <t>Payment Date</t>
  </si>
  <si>
    <t>Payment amount (in USD)</t>
  </si>
  <si>
    <t>Was this refunded? Y/N</t>
  </si>
  <si>
    <t>Other</t>
  </si>
  <si>
    <t>N</t>
  </si>
  <si>
    <t>ENROLLMENT INFORMATION</t>
  </si>
  <si>
    <t>Enrollment Date</t>
  </si>
  <si>
    <t>Paid Y/N</t>
  </si>
  <si>
    <t>Grade Achieved</t>
  </si>
  <si>
    <t>C Programming: Getting Started - 1</t>
  </si>
  <si>
    <t>Wind Energy</t>
  </si>
  <si>
    <t>Renewable Energy Technology Fundamentals</t>
  </si>
  <si>
    <t>Introduction to Thermodynamics: Transferring Energy from Here to There</t>
  </si>
  <si>
    <t>Network Principles in Practice: Cloud Networking</t>
  </si>
  <si>
    <t>C++ 20 Mastery - Pure and Unfiltered</t>
  </si>
  <si>
    <t>Introduction to Contemporary Operating Systems and Hardware 1c</t>
  </si>
  <si>
    <t>Data Modeling with Power BI: Advanced DAX Calculations</t>
  </si>
  <si>
    <t>Algorithms for Searching, Sorting, and Indexing</t>
  </si>
  <si>
    <t>UiPath Automation Explorer</t>
  </si>
  <si>
    <t>Everything is the Same: Modeling Engineered Systems</t>
  </si>
  <si>
    <t>Create Embeddings, Vector Search, and RAG with BigQuery</t>
  </si>
  <si>
    <t>Getting Started with Linux Terminal</t>
  </si>
  <si>
    <t>The Modern World: Global History since 1760</t>
  </si>
  <si>
    <t>Advanced Unity Scripting, AI, &amp; Complete 3D Game Development</t>
  </si>
  <si>
    <t>C++ For C Programmers, Part A</t>
  </si>
  <si>
    <t>Process Mining: Data science in Action</t>
  </si>
  <si>
    <t>微积分二: 数列与级数 (中文版)</t>
  </si>
  <si>
    <t>Algorithmic Toolbox</t>
  </si>
  <si>
    <t>Introduction to Python Functions</t>
  </si>
  <si>
    <t>Data Science Coding Challenge: Loan Default Prediction</t>
  </si>
  <si>
    <t>C Programming: Advanced Data Types - 5</t>
  </si>
  <si>
    <t>Network Systems Foundations</t>
  </si>
  <si>
    <t>AstroTech: The Science and Technology behind Astronomical Discovery</t>
  </si>
  <si>
    <t>Security Operations Center (SOC)</t>
  </si>
  <si>
    <t>Project Management Fundamentals</t>
  </si>
  <si>
    <t>Introduction to Programming with MATLAB</t>
  </si>
  <si>
    <t>Unreal Engine Fundamentals</t>
  </si>
  <si>
    <t>Material Behavior</t>
  </si>
  <si>
    <t>Wireshark for Packet Capture: Analyze web traffic</t>
  </si>
  <si>
    <t>Calculus: Single Variable</t>
  </si>
  <si>
    <t>Mathematical Thinking in Computer Science</t>
  </si>
  <si>
    <t>Essential Linear Algebra for Data Science</t>
  </si>
  <si>
    <t>Robotics Engineering &amp; Applications</t>
  </si>
  <si>
    <t>Mechanics: Motion, Forces, Energy and Gravity, from Particles to Planets</t>
  </si>
  <si>
    <t>C Programming: Pointers and Memory Management - 4</t>
  </si>
  <si>
    <t>Network Security</t>
  </si>
  <si>
    <t>Introduction to Engineering Mechanics</t>
  </si>
  <si>
    <t>Materials Science: 10 Things Every Engineer Should Know</t>
  </si>
  <si>
    <t>The Brain and Space</t>
  </si>
  <si>
    <t>Python Packages for Data Science</t>
  </si>
  <si>
    <t>Browser-based Models with TensorFlow.js</t>
  </si>
  <si>
    <t>Mechanics of Materials I: Fundamentals of Stress &amp; Strain and Axial Loading</t>
  </si>
  <si>
    <t>Advanced IT Tools, Career Prep, and System Management</t>
  </si>
  <si>
    <t>Algebra and Differential Calculus for Data Science</t>
  </si>
  <si>
    <t>Introduction to Python for Cybersecurity</t>
  </si>
  <si>
    <t>The 3D Printing Revolution</t>
  </si>
  <si>
    <t>Engineering of Structures: Tension</t>
  </si>
  <si>
    <t>A Brief History of Humankind</t>
  </si>
  <si>
    <t>Matrix Algebra for Engineers</t>
  </si>
  <si>
    <t>Calculus One</t>
  </si>
  <si>
    <t>Play It Safe: Manage Security Risks</t>
  </si>
  <si>
    <t>Introduction to Artificial Intelligence (AI)</t>
  </si>
  <si>
    <t>Introduction to Solid Edge</t>
  </si>
  <si>
    <t>A Tour of Google Cloud Hands-on Labs</t>
  </si>
  <si>
    <t>Linux Foundations and Basic System Administration</t>
  </si>
  <si>
    <t>Google Cloud Fundamentals: Core Infrastructure</t>
  </si>
  <si>
    <t>Motors and Motor Control Circuits</t>
  </si>
  <si>
    <t>Fundamentals of Microsoft 365 Generative AI</t>
  </si>
  <si>
    <t>Electrical Power Distribution</t>
  </si>
  <si>
    <t>Regression and Classification</t>
  </si>
  <si>
    <t>An Introduction to Interactive Programming in Python</t>
  </si>
  <si>
    <t>Linux Basics: The Command Line Interface - 6</t>
  </si>
  <si>
    <t>Introduction to Python Fundamentals</t>
  </si>
  <si>
    <t>AWS Cloud Technical Essentials</t>
  </si>
  <si>
    <t>More C++ Programming and Unreal</t>
  </si>
  <si>
    <t>C++ For C Programmers, Part B</t>
  </si>
  <si>
    <t>The Finite Element Method for Problems in Physics</t>
  </si>
  <si>
    <t>Programming for Everybody (Getting Started with Python)</t>
  </si>
  <si>
    <t>Tools of the Trade: Linux and SQL</t>
  </si>
  <si>
    <t>Introduction to Technical Support</t>
  </si>
  <si>
    <t>Solar Power Generation</t>
  </si>
  <si>
    <t>Developing AI Applications with Python and Flask</t>
  </si>
  <si>
    <t>Linux Fundamentals</t>
  </si>
  <si>
    <t>Drones for Environmental Science</t>
  </si>
  <si>
    <t>Introduction to C++ Programming and Unreal</t>
  </si>
  <si>
    <t>Fundamentals of Robotics &amp; Industrial Automation</t>
  </si>
  <si>
    <t>Concreting Practices</t>
  </si>
  <si>
    <t>Introduction to Machine Learning</t>
  </si>
  <si>
    <t>PowerShell Skills</t>
  </si>
  <si>
    <t>Formwork Practices</t>
  </si>
  <si>
    <t>Metasploit for Beginners: Ethical Penetration Testing</t>
  </si>
  <si>
    <t>Computer Science: Algorithms, Theory, and Machines</t>
  </si>
  <si>
    <t>Applications in Engineering Mechanics</t>
  </si>
  <si>
    <t>Sports and Building Aerodynamics</t>
  </si>
  <si>
    <t>Execution, persistence, privilege escalation and evasion</t>
  </si>
  <si>
    <t>Engineering Systems in Motion: Dynamics of Particles and Bodies in 2D Motion</t>
  </si>
  <si>
    <t>Linux Embedded System Topics and Projects</t>
  </si>
  <si>
    <t>Introduction to Cybersecurity Essentials</t>
  </si>
  <si>
    <t>Web Application Development: Basic Concepts</t>
  </si>
  <si>
    <t>Introduction to Game Design</t>
  </si>
  <si>
    <t>Looker Studio Essentials</t>
  </si>
  <si>
    <t>Cyber Security: Essentials for Workplace</t>
  </si>
  <si>
    <t>Data Security</t>
  </si>
  <si>
    <t>Machinery for Concreting</t>
  </si>
  <si>
    <t>Structure Standing Still: The Statics of Everyday Objects</t>
  </si>
  <si>
    <t>C Programming: Language Foundations - 2</t>
  </si>
  <si>
    <t>Integral Calculus and Numerical Analysis for Data Science</t>
  </si>
  <si>
    <t>Probability Foundations for Data Science and AI</t>
  </si>
  <si>
    <t>C Programming: Modular Programming and Memory Management - 3</t>
  </si>
  <si>
    <t>Organic Solar Cells - Theory and Practice</t>
  </si>
  <si>
    <t>FortiGate Administrator</t>
  </si>
  <si>
    <t>Managing Memory with C Programming</t>
  </si>
  <si>
    <t>Differential Equations for Engineers</t>
  </si>
  <si>
    <t>Programming for Everybody (Python)</t>
  </si>
  <si>
    <t>Internet of Things: Setting Up Your DragonBoard™ Development Platform</t>
  </si>
  <si>
    <t>Engineering of Structures: Response of Structures</t>
  </si>
  <si>
    <t>Trees and Graphs: Basics</t>
  </si>
  <si>
    <t>Computer Networks and Network Security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</si>
</sst>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9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B050"/>
      <name val="Arial"/>
      <family val="2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theme="8" tint="-0.499984740745262"/>
      <name val="Arial"/>
      <family val="2"/>
    </font>
    <font>
      <b/>
      <sz val="10"/>
      <color rgb="FF7030A0"/>
      <name val="Arial"/>
      <family val="2"/>
    </font>
    <font>
      <b/>
      <sz val="10"/>
      <color rgb="FF008000"/>
      <name val="Arial"/>
      <family val="2"/>
    </font>
    <font>
      <b/>
      <sz val="13"/>
      <color rgb="FF002060"/>
      <name val="Arial"/>
      <family val="2"/>
    </font>
    <font>
      <b/>
      <i/>
      <sz val="8"/>
      <color rgb="FF0070C0"/>
      <name val="Arial"/>
      <family val="2"/>
    </font>
    <font>
      <b/>
      <sz val="10"/>
      <color rgb="FF002060"/>
      <name val="Arial"/>
      <family val="2"/>
    </font>
    <font>
      <b/>
      <sz val="10"/>
      <color rgb="FF0070C0"/>
      <name val="Arial"/>
      <family val="2"/>
    </font>
    <font>
      <b/>
      <i/>
      <sz val="10"/>
      <color rgb="FFFF0000"/>
      <name val="Arial"/>
      <family val="2"/>
    </font>
    <font>
      <b/>
      <sz val="10"/>
      <color rgb="FF006600"/>
      <name val="Arial"/>
      <family val="2"/>
    </font>
    <font>
      <b/>
      <sz val="10"/>
      <color rgb="FFFF0000"/>
      <name val="Arial"/>
      <family val="2"/>
    </font>
    <font>
      <b/>
      <sz val="10"/>
      <color rgb="FF00B0F0"/>
      <name val="Arial"/>
      <family val="2"/>
    </font>
    <font>
      <sz val="8"/>
      <color rgb="FF444444"/>
      <name val="Arial"/>
      <family val="2"/>
    </font>
    <font>
      <b/>
      <sz val="8"/>
      <color rgb="FF444444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6" fillId="0" borderId="0" xfId="0" quotePrefix="1" applyFont="1" applyAlignment="1">
      <alignment horizontal="center"/>
    </xf>
    <xf numFmtId="0" fontId="7" fillId="0" borderId="0" xfId="0" quotePrefix="1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2" borderId="0" xfId="0" applyFont="1" applyFill="1" applyAlignment="1">
      <alignment horizontal="center"/>
    </xf>
    <xf numFmtId="14" fontId="12" fillId="3" borderId="0" xfId="0" quotePrefix="1" applyNumberFormat="1" applyFont="1" applyFill="1"/>
    <xf numFmtId="14" fontId="13" fillId="4" borderId="0" xfId="0" quotePrefix="1" applyNumberFormat="1" applyFont="1" applyFill="1"/>
    <xf numFmtId="0" fontId="2" fillId="5" borderId="1" xfId="0" applyFont="1" applyFill="1" applyBorder="1"/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5" fillId="0" borderId="1" xfId="0" applyFont="1" applyBorder="1" applyAlignment="1">
      <alignment wrapText="1"/>
    </xf>
    <xf numFmtId="0" fontId="4" fillId="0" borderId="1" xfId="0" applyFont="1" applyBorder="1" applyAlignment="1">
      <alignment horizontal="center"/>
    </xf>
    <xf numFmtId="164" fontId="6" fillId="0" borderId="1" xfId="0" quotePrefix="1" applyNumberFormat="1" applyFont="1" applyBorder="1" applyAlignment="1">
      <alignment horizontal="center"/>
    </xf>
    <xf numFmtId="0" fontId="7" fillId="0" borderId="1" xfId="0" quotePrefix="1" applyFont="1" applyBorder="1" applyAlignment="1">
      <alignment horizontal="center" vertical="center"/>
    </xf>
    <xf numFmtId="9" fontId="8" fillId="0" borderId="1" xfId="1" quotePrefix="1" applyFont="1" applyBorder="1" applyAlignment="1">
      <alignment horizontal="center"/>
    </xf>
    <xf numFmtId="0" fontId="0" fillId="0" borderId="1" xfId="0" applyBorder="1"/>
    <xf numFmtId="9" fontId="14" fillId="0" borderId="1" xfId="0" applyNumberFormat="1" applyFont="1" applyBorder="1"/>
    <xf numFmtId="9" fontId="15" fillId="0" borderId="0" xfId="1" quotePrefix="1" applyFont="1" applyAlignment="1">
      <alignment horizontal="center"/>
    </xf>
    <xf numFmtId="0" fontId="7" fillId="7" borderId="1" xfId="0" quotePrefix="1" applyFont="1" applyFill="1" applyBorder="1" applyAlignment="1">
      <alignment horizontal="center" vertical="center"/>
    </xf>
    <xf numFmtId="9" fontId="14" fillId="0" borderId="0" xfId="0" applyNumberFormat="1" applyFont="1"/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14" fontId="13" fillId="4" borderId="0" xfId="0" quotePrefix="1" applyNumberFormat="1" applyFont="1" applyFill="1" applyAlignment="1">
      <alignment horizontal="center"/>
    </xf>
    <xf numFmtId="0" fontId="7" fillId="2" borderId="1" xfId="0" quotePrefix="1" applyFont="1" applyFill="1" applyBorder="1" applyAlignment="1">
      <alignment horizontal="center" vertical="center"/>
    </xf>
    <xf numFmtId="0" fontId="7" fillId="8" borderId="1" xfId="0" quotePrefix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wrapText="1"/>
    </xf>
    <xf numFmtId="0" fontId="16" fillId="0" borderId="1" xfId="0" quotePrefix="1" applyFont="1" applyBorder="1" applyAlignment="1">
      <alignment horizontal="center" vertical="center"/>
    </xf>
    <xf numFmtId="0" fontId="7" fillId="9" borderId="1" xfId="0" quotePrefix="1" applyFont="1" applyFill="1" applyBorder="1" applyAlignment="1">
      <alignment horizontal="center" vertical="center"/>
    </xf>
    <xf numFmtId="0" fontId="18" fillId="10" borderId="3" xfId="0" applyFont="1" applyFill="1" applyBorder="1" applyAlignment="1">
      <alignment vertical="center" wrapText="1"/>
    </xf>
    <xf numFmtId="0" fontId="17" fillId="10" borderId="3" xfId="0" applyFont="1" applyFill="1" applyBorder="1" applyAlignment="1">
      <alignment vertical="center" wrapText="1"/>
    </xf>
    <xf numFmtId="14" fontId="17" fillId="10" borderId="3" xfId="0" applyNumberFormat="1" applyFont="1" applyFill="1" applyBorder="1" applyAlignment="1">
      <alignment vertical="center" wrapText="1"/>
    </xf>
    <xf numFmtId="0" fontId="18" fillId="0" borderId="0" xfId="0" applyFont="1" applyAlignment="1">
      <alignment horizontal="left" vertical="center" wrapText="1"/>
    </xf>
    <xf numFmtId="9" fontId="17" fillId="10" borderId="3" xfId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DF3D2-CD81-4CAD-9016-159028693246}">
  <sheetPr>
    <tabColor rgb="FF99FF33"/>
  </sheetPr>
  <dimension ref="B1:J79"/>
  <sheetViews>
    <sheetView zoomScaleNormal="100" workbookViewId="0">
      <selection activeCell="H4" sqref="H4"/>
    </sheetView>
  </sheetViews>
  <sheetFormatPr defaultRowHeight="13.2" x14ac:dyDescent="0.25"/>
  <cols>
    <col min="1" max="1" width="1.88671875" customWidth="1"/>
    <col min="2" max="2" width="5.109375" bestFit="1" customWidth="1"/>
    <col min="3" max="3" width="60.5546875" bestFit="1" customWidth="1"/>
    <col min="4" max="4" width="15.21875" customWidth="1"/>
    <col min="5" max="5" width="16.44140625" bestFit="1" customWidth="1"/>
    <col min="6" max="6" width="8.109375" bestFit="1" customWidth="1"/>
    <col min="7" max="7" width="12.5546875" style="1" customWidth="1"/>
    <col min="8" max="8" width="13" bestFit="1" customWidth="1"/>
  </cols>
  <sheetData>
    <row r="1" spans="2:10" ht="6.6" customHeight="1" x14ac:dyDescent="0.25"/>
    <row r="2" spans="2:10" ht="16.8" x14ac:dyDescent="0.3">
      <c r="B2" s="9" t="s">
        <v>0</v>
      </c>
    </row>
    <row r="3" spans="2:10" x14ac:dyDescent="0.25">
      <c r="B3" s="10" t="s">
        <v>1</v>
      </c>
      <c r="C3" s="2"/>
      <c r="D3" s="11" t="s">
        <v>31</v>
      </c>
      <c r="E3" s="12" t="s">
        <v>32</v>
      </c>
      <c r="G3" s="11" t="s">
        <v>2</v>
      </c>
      <c r="H3" s="13" t="s">
        <v>205</v>
      </c>
    </row>
    <row r="4" spans="2:10" s="4" customFormat="1" x14ac:dyDescent="0.25"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  <c r="G4" s="15" t="s">
        <v>8</v>
      </c>
      <c r="H4" s="14" t="s">
        <v>9</v>
      </c>
    </row>
    <row r="5" spans="2:10" x14ac:dyDescent="0.25">
      <c r="B5" s="16">
        <v>1</v>
      </c>
      <c r="C5" s="17" t="s">
        <v>10</v>
      </c>
      <c r="D5" s="18" t="s">
        <v>11</v>
      </c>
      <c r="E5" s="19">
        <v>44622</v>
      </c>
      <c r="F5" s="31">
        <v>2022</v>
      </c>
      <c r="G5" s="21">
        <v>1</v>
      </c>
      <c r="H5" s="22"/>
    </row>
    <row r="6" spans="2:10" x14ac:dyDescent="0.25">
      <c r="B6" s="16">
        <f ca="1">IFERROR(OFFSET(B6,-1,0,1,1)+1,"")</f>
        <v>2</v>
      </c>
      <c r="C6" s="17" t="s">
        <v>12</v>
      </c>
      <c r="D6" s="18" t="s">
        <v>13</v>
      </c>
      <c r="E6" s="19">
        <v>44641</v>
      </c>
      <c r="F6" s="31">
        <v>2022</v>
      </c>
      <c r="G6" s="21">
        <v>1</v>
      </c>
      <c r="H6" s="22"/>
    </row>
    <row r="7" spans="2:10" x14ac:dyDescent="0.25">
      <c r="B7" s="16">
        <f ca="1">IFERROR(OFFSET(B7,-1,0,1,1)+1,"")</f>
        <v>3</v>
      </c>
      <c r="C7" s="17" t="s">
        <v>14</v>
      </c>
      <c r="D7" s="18" t="s">
        <v>13</v>
      </c>
      <c r="E7" s="19">
        <v>44710</v>
      </c>
      <c r="F7" s="31">
        <v>2022</v>
      </c>
      <c r="G7" s="21">
        <v>1</v>
      </c>
      <c r="H7" s="22"/>
    </row>
    <row r="8" spans="2:10" x14ac:dyDescent="0.25">
      <c r="B8" s="16">
        <f ca="1">IFERROR(OFFSET(B8,-1,0,1,1)+1,"")</f>
        <v>4</v>
      </c>
      <c r="C8" s="17" t="s">
        <v>15</v>
      </c>
      <c r="D8" s="18" t="s">
        <v>13</v>
      </c>
      <c r="E8" s="19">
        <v>44724</v>
      </c>
      <c r="F8" s="31">
        <v>2022</v>
      </c>
      <c r="G8" s="21">
        <v>1</v>
      </c>
      <c r="H8" s="22"/>
    </row>
    <row r="9" spans="2:10" x14ac:dyDescent="0.25">
      <c r="B9" s="16">
        <f ca="1">IFERROR(OFFSET(B9,-1,0,1,1)+1,"")</f>
        <v>5</v>
      </c>
      <c r="C9" s="17" t="s">
        <v>33</v>
      </c>
      <c r="D9" s="18" t="s">
        <v>34</v>
      </c>
      <c r="E9" s="19">
        <v>44807</v>
      </c>
      <c r="F9" s="31">
        <v>2022</v>
      </c>
      <c r="G9" s="21">
        <v>1</v>
      </c>
      <c r="H9" s="23"/>
      <c r="J9" s="24"/>
    </row>
    <row r="10" spans="2:10" x14ac:dyDescent="0.25">
      <c r="B10" s="16">
        <f t="shared" ref="B10:B79" ca="1" si="0">IFERROR(OFFSET(B10,-1,0,1,1)+1,"")</f>
        <v>6</v>
      </c>
      <c r="C10" s="17" t="s">
        <v>35</v>
      </c>
      <c r="D10" s="18" t="s">
        <v>34</v>
      </c>
      <c r="E10" s="19">
        <v>44939</v>
      </c>
      <c r="F10" s="25">
        <v>2023</v>
      </c>
      <c r="G10" s="21">
        <v>1</v>
      </c>
      <c r="H10" s="23"/>
      <c r="J10" s="24"/>
    </row>
    <row r="11" spans="2:10" x14ac:dyDescent="0.25">
      <c r="B11" s="16">
        <f t="shared" ca="1" si="0"/>
        <v>7</v>
      </c>
      <c r="C11" s="17" t="s">
        <v>24</v>
      </c>
      <c r="D11" s="18" t="s">
        <v>13</v>
      </c>
      <c r="E11" s="19">
        <v>44958</v>
      </c>
      <c r="F11" s="25">
        <v>2023</v>
      </c>
      <c r="G11" s="21">
        <v>1</v>
      </c>
      <c r="H11" s="23"/>
      <c r="J11" s="24"/>
    </row>
    <row r="12" spans="2:10" x14ac:dyDescent="0.25">
      <c r="B12" s="16">
        <f t="shared" ca="1" si="0"/>
        <v>8</v>
      </c>
      <c r="C12" s="17" t="s">
        <v>36</v>
      </c>
      <c r="D12" s="18" t="s">
        <v>37</v>
      </c>
      <c r="E12" s="19">
        <v>45001</v>
      </c>
      <c r="F12" s="25">
        <v>2023</v>
      </c>
      <c r="G12" s="21">
        <v>1</v>
      </c>
      <c r="H12" s="23"/>
      <c r="J12" s="24"/>
    </row>
    <row r="13" spans="2:10" x14ac:dyDescent="0.25">
      <c r="B13" s="16">
        <f t="shared" ca="1" si="0"/>
        <v>9</v>
      </c>
      <c r="C13" s="17" t="s">
        <v>38</v>
      </c>
      <c r="D13" s="18" t="s">
        <v>13</v>
      </c>
      <c r="E13" s="19">
        <v>45003</v>
      </c>
      <c r="F13" s="25">
        <v>2023</v>
      </c>
      <c r="G13" s="21">
        <v>1</v>
      </c>
      <c r="H13" s="23"/>
      <c r="J13" s="24"/>
    </row>
    <row r="14" spans="2:10" x14ac:dyDescent="0.25">
      <c r="B14" s="16">
        <f t="shared" ca="1" si="0"/>
        <v>10</v>
      </c>
      <c r="C14" s="17" t="s">
        <v>39</v>
      </c>
      <c r="D14" s="18" t="s">
        <v>40</v>
      </c>
      <c r="E14" s="19">
        <v>45080</v>
      </c>
      <c r="F14" s="25">
        <v>2023</v>
      </c>
      <c r="G14" s="21">
        <v>1</v>
      </c>
      <c r="H14" s="22"/>
    </row>
    <row r="15" spans="2:10" x14ac:dyDescent="0.25">
      <c r="B15" s="16">
        <f t="shared" ca="1" si="0"/>
        <v>11</v>
      </c>
      <c r="C15" s="17" t="s">
        <v>41</v>
      </c>
      <c r="D15" s="18" t="s">
        <v>40</v>
      </c>
      <c r="E15" s="19" t="s">
        <v>42</v>
      </c>
      <c r="F15" s="25">
        <v>2023</v>
      </c>
      <c r="G15" s="21">
        <v>1</v>
      </c>
      <c r="H15" s="22"/>
    </row>
    <row r="16" spans="2:10" x14ac:dyDescent="0.25">
      <c r="B16" s="16">
        <f t="shared" ca="1" si="0"/>
        <v>12</v>
      </c>
      <c r="C16" s="17" t="s">
        <v>43</v>
      </c>
      <c r="D16" s="18" t="s">
        <v>11</v>
      </c>
      <c r="E16" s="19" t="s">
        <v>44</v>
      </c>
      <c r="F16" s="25">
        <v>2023</v>
      </c>
      <c r="G16" s="21">
        <v>1</v>
      </c>
      <c r="H16" s="23"/>
      <c r="J16" s="24"/>
    </row>
    <row r="17" spans="2:10" x14ac:dyDescent="0.25">
      <c r="B17" s="16">
        <f t="shared" ca="1" si="0"/>
        <v>13</v>
      </c>
      <c r="C17" s="17" t="s">
        <v>45</v>
      </c>
      <c r="D17" s="18" t="s">
        <v>11</v>
      </c>
      <c r="E17" s="19" t="s">
        <v>46</v>
      </c>
      <c r="F17" s="25">
        <v>2023</v>
      </c>
      <c r="G17" s="21">
        <v>1</v>
      </c>
      <c r="H17" s="23"/>
      <c r="J17" s="24"/>
    </row>
    <row r="18" spans="2:10" x14ac:dyDescent="0.25">
      <c r="B18" s="16">
        <f t="shared" ca="1" si="0"/>
        <v>14</v>
      </c>
      <c r="C18" s="17" t="s">
        <v>47</v>
      </c>
      <c r="D18" s="18" t="s">
        <v>11</v>
      </c>
      <c r="E18" s="19" t="s">
        <v>48</v>
      </c>
      <c r="F18" s="25">
        <v>2023</v>
      </c>
      <c r="G18" s="21">
        <v>1</v>
      </c>
      <c r="H18" s="23"/>
      <c r="J18" s="24"/>
    </row>
    <row r="19" spans="2:10" x14ac:dyDescent="0.25">
      <c r="B19" s="16">
        <f t="shared" ca="1" si="0"/>
        <v>15</v>
      </c>
      <c r="C19" s="17" t="s">
        <v>49</v>
      </c>
      <c r="D19" s="18" t="s">
        <v>13</v>
      </c>
      <c r="E19" s="19" t="s">
        <v>50</v>
      </c>
      <c r="F19" s="30">
        <v>2024</v>
      </c>
      <c r="G19" s="21">
        <v>1</v>
      </c>
      <c r="H19" s="23"/>
      <c r="J19" s="24"/>
    </row>
    <row r="20" spans="2:10" x14ac:dyDescent="0.25">
      <c r="B20" s="16">
        <f t="shared" ca="1" si="0"/>
        <v>16</v>
      </c>
      <c r="C20" s="17" t="s">
        <v>51</v>
      </c>
      <c r="D20" s="18" t="s">
        <v>11</v>
      </c>
      <c r="E20" s="19" t="s">
        <v>52</v>
      </c>
      <c r="F20" s="30">
        <v>2024</v>
      </c>
      <c r="G20" s="21">
        <v>1</v>
      </c>
      <c r="H20" s="23"/>
      <c r="J20" s="24"/>
    </row>
    <row r="21" spans="2:10" x14ac:dyDescent="0.25">
      <c r="B21" s="16">
        <f t="shared" ca="1" si="0"/>
        <v>17</v>
      </c>
      <c r="C21" s="17" t="s">
        <v>152</v>
      </c>
      <c r="D21" s="18" t="s">
        <v>54</v>
      </c>
      <c r="E21" s="19" t="s">
        <v>153</v>
      </c>
      <c r="F21" s="30">
        <v>2024</v>
      </c>
      <c r="G21" s="21">
        <v>1</v>
      </c>
      <c r="H21" s="23"/>
      <c r="J21" s="24"/>
    </row>
    <row r="22" spans="2:10" x14ac:dyDescent="0.25">
      <c r="B22" s="16">
        <f ca="1">IFERROR(OFFSET(B22,-1,0,1,1)+1,"")</f>
        <v>18</v>
      </c>
      <c r="C22" s="17" t="s">
        <v>151</v>
      </c>
      <c r="D22" s="18" t="s">
        <v>11</v>
      </c>
      <c r="E22" s="19" t="s">
        <v>163</v>
      </c>
      <c r="F22" s="30">
        <v>2024</v>
      </c>
      <c r="G22" s="21">
        <v>1</v>
      </c>
      <c r="H22" s="23"/>
      <c r="J22" s="24"/>
    </row>
    <row r="23" spans="2:10" x14ac:dyDescent="0.25">
      <c r="B23" s="16">
        <f t="shared" ca="1" si="0"/>
        <v>19</v>
      </c>
      <c r="C23" s="17" t="s">
        <v>173</v>
      </c>
      <c r="D23" s="18" t="s">
        <v>11</v>
      </c>
      <c r="E23" s="19" t="s">
        <v>174</v>
      </c>
      <c r="F23" s="35">
        <v>2025</v>
      </c>
      <c r="G23" s="21">
        <v>1</v>
      </c>
      <c r="H23" s="23"/>
      <c r="J23" s="24"/>
    </row>
    <row r="24" spans="2:10" x14ac:dyDescent="0.25">
      <c r="B24" s="16">
        <f t="shared" ca="1" si="0"/>
        <v>20</v>
      </c>
      <c r="C24" s="17" t="s">
        <v>181</v>
      </c>
      <c r="D24" s="18" t="s">
        <v>11</v>
      </c>
      <c r="E24" s="19" t="s">
        <v>182</v>
      </c>
      <c r="F24" s="35">
        <v>2025</v>
      </c>
      <c r="G24" s="21">
        <v>1</v>
      </c>
      <c r="H24" s="23"/>
      <c r="J24" s="24"/>
    </row>
    <row r="25" spans="2:10" x14ac:dyDescent="0.25">
      <c r="B25" s="16">
        <f t="shared" ca="1" si="0"/>
        <v>21</v>
      </c>
      <c r="C25" s="17" t="s">
        <v>183</v>
      </c>
      <c r="D25" s="18" t="s">
        <v>57</v>
      </c>
      <c r="E25" s="19" t="s">
        <v>184</v>
      </c>
      <c r="F25" s="35">
        <v>2025</v>
      </c>
      <c r="G25" s="21">
        <v>1</v>
      </c>
      <c r="H25" s="23"/>
      <c r="J25" s="24"/>
    </row>
    <row r="26" spans="2:10" x14ac:dyDescent="0.25">
      <c r="B26" s="16">
        <f t="shared" ca="1" si="0"/>
        <v>22</v>
      </c>
      <c r="C26" s="17" t="s">
        <v>203</v>
      </c>
      <c r="D26" s="18" t="s">
        <v>40</v>
      </c>
      <c r="E26" s="19" t="s">
        <v>204</v>
      </c>
      <c r="F26" s="35">
        <v>2025</v>
      </c>
      <c r="G26" s="21">
        <v>1</v>
      </c>
      <c r="H26" s="23"/>
      <c r="J26" s="24"/>
    </row>
    <row r="27" spans="2:10" x14ac:dyDescent="0.25">
      <c r="B27" s="5">
        <f t="shared" ca="1" si="0"/>
        <v>23</v>
      </c>
      <c r="C27" s="6" t="s">
        <v>55</v>
      </c>
      <c r="D27" s="3" t="s">
        <v>40</v>
      </c>
      <c r="E27" s="7" t="s">
        <v>17</v>
      </c>
      <c r="F27" s="8">
        <v>2023</v>
      </c>
      <c r="G27" s="24">
        <v>0.21</v>
      </c>
      <c r="H27" s="26" t="str">
        <f t="shared" ref="H27:H79" si="1">IF(G27-J27=0,"",ROUND(G27-J27,2)*100&amp;"% Better")</f>
        <v/>
      </c>
      <c r="J27" s="24">
        <v>0.21</v>
      </c>
    </row>
    <row r="28" spans="2:10" x14ac:dyDescent="0.25">
      <c r="B28" s="5">
        <f t="shared" ca="1" si="0"/>
        <v>24</v>
      </c>
      <c r="C28" s="6" t="s">
        <v>71</v>
      </c>
      <c r="D28" s="3" t="s">
        <v>72</v>
      </c>
      <c r="E28" s="7" t="s">
        <v>17</v>
      </c>
      <c r="F28" s="8">
        <v>2023</v>
      </c>
      <c r="G28" s="24">
        <v>0.26</v>
      </c>
      <c r="H28" s="26" t="str">
        <f t="shared" si="1"/>
        <v/>
      </c>
      <c r="J28" s="24">
        <v>0.26</v>
      </c>
    </row>
    <row r="29" spans="2:10" x14ac:dyDescent="0.25">
      <c r="B29" s="5">
        <f t="shared" ca="1" si="0"/>
        <v>25</v>
      </c>
      <c r="C29" s="6" t="s">
        <v>84</v>
      </c>
      <c r="D29" s="3" t="s">
        <v>72</v>
      </c>
      <c r="E29" s="7" t="s">
        <v>17</v>
      </c>
      <c r="F29" s="8">
        <v>2024</v>
      </c>
      <c r="G29" s="24">
        <v>0</v>
      </c>
      <c r="H29" s="26" t="str">
        <f t="shared" si="1"/>
        <v/>
      </c>
      <c r="J29" s="24">
        <v>0</v>
      </c>
    </row>
    <row r="30" spans="2:10" x14ac:dyDescent="0.25">
      <c r="B30" s="5">
        <f t="shared" ca="1" si="0"/>
        <v>26</v>
      </c>
      <c r="C30" s="6" t="s">
        <v>80</v>
      </c>
      <c r="D30" s="3" t="s">
        <v>81</v>
      </c>
      <c r="E30" s="7" t="s">
        <v>17</v>
      </c>
      <c r="F30" s="8">
        <v>2023</v>
      </c>
      <c r="G30" s="24">
        <v>0.06</v>
      </c>
      <c r="H30" s="26" t="str">
        <f t="shared" si="1"/>
        <v/>
      </c>
      <c r="J30" s="24">
        <v>0.06</v>
      </c>
    </row>
    <row r="31" spans="2:10" x14ac:dyDescent="0.25">
      <c r="B31" s="5">
        <f t="shared" ca="1" si="0"/>
        <v>27</v>
      </c>
      <c r="C31" s="6" t="s">
        <v>56</v>
      </c>
      <c r="D31" s="3" t="s">
        <v>57</v>
      </c>
      <c r="E31" s="7" t="s">
        <v>17</v>
      </c>
      <c r="F31" s="8">
        <v>2024</v>
      </c>
      <c r="G31" s="24">
        <v>0.17</v>
      </c>
      <c r="H31" s="26" t="str">
        <f t="shared" si="1"/>
        <v/>
      </c>
      <c r="J31" s="24">
        <v>0.17</v>
      </c>
    </row>
    <row r="32" spans="2:10" x14ac:dyDescent="0.25">
      <c r="B32" s="5">
        <f t="shared" ca="1" si="0"/>
        <v>28</v>
      </c>
      <c r="C32" s="6" t="s">
        <v>58</v>
      </c>
      <c r="D32" s="3" t="s">
        <v>57</v>
      </c>
      <c r="E32" s="7" t="s">
        <v>17</v>
      </c>
      <c r="F32" s="8">
        <v>2024</v>
      </c>
      <c r="G32" s="24">
        <v>0.17</v>
      </c>
      <c r="H32" s="26" t="str">
        <f t="shared" si="1"/>
        <v/>
      </c>
      <c r="J32" s="24">
        <v>0.17</v>
      </c>
    </row>
    <row r="33" spans="2:10" x14ac:dyDescent="0.25">
      <c r="B33" s="5">
        <f t="shared" ca="1" si="0"/>
        <v>29</v>
      </c>
      <c r="C33" s="6" t="s">
        <v>62</v>
      </c>
      <c r="D33" s="3" t="s">
        <v>57</v>
      </c>
      <c r="E33" s="7" t="s">
        <v>17</v>
      </c>
      <c r="F33" s="8">
        <v>2024</v>
      </c>
      <c r="G33" s="24">
        <v>7.0000000000000007E-2</v>
      </c>
      <c r="H33" s="26" t="str">
        <f t="shared" si="1"/>
        <v/>
      </c>
      <c r="J33" s="24">
        <v>7.0000000000000007E-2</v>
      </c>
    </row>
    <row r="34" spans="2:10" x14ac:dyDescent="0.25">
      <c r="B34" s="5">
        <f t="shared" ca="1" si="0"/>
        <v>30</v>
      </c>
      <c r="C34" s="6" t="s">
        <v>66</v>
      </c>
      <c r="D34" s="3" t="s">
        <v>57</v>
      </c>
      <c r="E34" s="7" t="s">
        <v>17</v>
      </c>
      <c r="F34" s="8">
        <v>2024</v>
      </c>
      <c r="G34" s="24">
        <v>0.36</v>
      </c>
      <c r="H34" s="26" t="str">
        <f t="shared" si="1"/>
        <v/>
      </c>
      <c r="J34" s="24">
        <v>0.36</v>
      </c>
    </row>
    <row r="35" spans="2:10" x14ac:dyDescent="0.25">
      <c r="B35" s="5">
        <f t="shared" ca="1" si="0"/>
        <v>31</v>
      </c>
      <c r="C35" s="6" t="s">
        <v>67</v>
      </c>
      <c r="D35" s="3" t="s">
        <v>57</v>
      </c>
      <c r="E35" s="7" t="s">
        <v>17</v>
      </c>
      <c r="F35" s="8">
        <v>2024</v>
      </c>
      <c r="G35" s="24">
        <v>0.2</v>
      </c>
      <c r="H35" s="26" t="str">
        <f t="shared" si="1"/>
        <v/>
      </c>
      <c r="J35" s="24">
        <v>0.2</v>
      </c>
    </row>
    <row r="36" spans="2:10" x14ac:dyDescent="0.25">
      <c r="B36" s="5">
        <f t="shared" ca="1" si="0"/>
        <v>32</v>
      </c>
      <c r="C36" s="6" t="s">
        <v>68</v>
      </c>
      <c r="D36" s="3" t="s">
        <v>57</v>
      </c>
      <c r="E36" s="7" t="s">
        <v>17</v>
      </c>
      <c r="F36" s="8">
        <v>2024</v>
      </c>
      <c r="G36" s="24">
        <v>0.19</v>
      </c>
      <c r="H36" s="26" t="str">
        <f t="shared" si="1"/>
        <v/>
      </c>
      <c r="J36" s="24">
        <v>0.19</v>
      </c>
    </row>
    <row r="37" spans="2:10" x14ac:dyDescent="0.25">
      <c r="B37" s="5">
        <f t="shared" ca="1" si="0"/>
        <v>33</v>
      </c>
      <c r="C37" s="6" t="s">
        <v>142</v>
      </c>
      <c r="D37" s="3" t="s">
        <v>57</v>
      </c>
      <c r="E37" s="7" t="s">
        <v>17</v>
      </c>
      <c r="F37" s="8">
        <v>2024</v>
      </c>
      <c r="G37" s="24">
        <v>0</v>
      </c>
      <c r="H37" s="26" t="str">
        <f t="shared" si="1"/>
        <v/>
      </c>
      <c r="J37" s="24">
        <v>0</v>
      </c>
    </row>
    <row r="38" spans="2:10" x14ac:dyDescent="0.25">
      <c r="B38" s="5">
        <f t="shared" ca="1" si="0"/>
        <v>34</v>
      </c>
      <c r="C38" s="6" t="s">
        <v>143</v>
      </c>
      <c r="D38" s="3" t="s">
        <v>57</v>
      </c>
      <c r="E38" s="7" t="s">
        <v>17</v>
      </c>
      <c r="F38" s="8">
        <v>2024</v>
      </c>
      <c r="G38" s="24">
        <v>0</v>
      </c>
      <c r="H38" s="26" t="str">
        <f t="shared" si="1"/>
        <v/>
      </c>
      <c r="J38" s="24">
        <v>0</v>
      </c>
    </row>
    <row r="39" spans="2:10" x14ac:dyDescent="0.25">
      <c r="B39" s="5">
        <f ca="1">IFERROR(OFFSET(B39,-1,0,1,1)+1,"")</f>
        <v>35</v>
      </c>
      <c r="C39" s="6" t="s">
        <v>64</v>
      </c>
      <c r="D39" s="3" t="s">
        <v>57</v>
      </c>
      <c r="E39" s="7" t="s">
        <v>17</v>
      </c>
      <c r="F39" s="8">
        <v>2023</v>
      </c>
      <c r="G39" s="24">
        <v>0.64</v>
      </c>
      <c r="H39" s="26" t="str">
        <f t="shared" si="1"/>
        <v/>
      </c>
      <c r="J39" s="24">
        <v>0.64</v>
      </c>
    </row>
    <row r="40" spans="2:10" x14ac:dyDescent="0.25">
      <c r="B40" s="5">
        <f t="shared" ca="1" si="0"/>
        <v>36</v>
      </c>
      <c r="C40" s="6" t="s">
        <v>77</v>
      </c>
      <c r="D40" s="3" t="s">
        <v>37</v>
      </c>
      <c r="E40" s="7" t="s">
        <v>17</v>
      </c>
      <c r="F40" s="8">
        <v>2023</v>
      </c>
      <c r="G40" s="24">
        <v>0.21</v>
      </c>
      <c r="H40" s="26" t="str">
        <f t="shared" si="1"/>
        <v/>
      </c>
      <c r="J40" s="24">
        <v>0.21</v>
      </c>
    </row>
    <row r="41" spans="2:10" x14ac:dyDescent="0.25">
      <c r="B41" s="5">
        <f t="shared" ca="1" si="0"/>
        <v>37</v>
      </c>
      <c r="C41" s="6" t="s">
        <v>79</v>
      </c>
      <c r="D41" s="3" t="s">
        <v>37</v>
      </c>
      <c r="E41" s="7" t="s">
        <v>17</v>
      </c>
      <c r="F41" s="8">
        <v>2023</v>
      </c>
      <c r="G41" s="24">
        <v>0.11</v>
      </c>
      <c r="H41" s="26" t="str">
        <f t="shared" si="1"/>
        <v/>
      </c>
      <c r="J41" s="24">
        <v>0.11</v>
      </c>
    </row>
    <row r="42" spans="2:10" x14ac:dyDescent="0.25">
      <c r="B42" s="5">
        <f t="shared" ca="1" si="0"/>
        <v>38</v>
      </c>
      <c r="C42" s="6" t="s">
        <v>85</v>
      </c>
      <c r="D42" s="3" t="s">
        <v>37</v>
      </c>
      <c r="E42" s="7" t="s">
        <v>17</v>
      </c>
      <c r="F42" s="8">
        <v>2024</v>
      </c>
      <c r="G42" s="24">
        <v>0.16</v>
      </c>
      <c r="H42" s="26" t="str">
        <f t="shared" si="1"/>
        <v/>
      </c>
      <c r="J42" s="24">
        <v>0.16</v>
      </c>
    </row>
    <row r="43" spans="2:10" x14ac:dyDescent="0.25">
      <c r="B43" s="5">
        <f t="shared" ca="1" si="0"/>
        <v>39</v>
      </c>
      <c r="C43" s="6" t="s">
        <v>93</v>
      </c>
      <c r="D43" s="3" t="s">
        <v>37</v>
      </c>
      <c r="E43" s="7" t="s">
        <v>17</v>
      </c>
      <c r="F43" s="8">
        <v>2024</v>
      </c>
      <c r="G43" s="24">
        <v>0.14000000000000001</v>
      </c>
      <c r="H43" s="26" t="str">
        <f t="shared" si="1"/>
        <v/>
      </c>
      <c r="J43" s="24">
        <v>0.14000000000000001</v>
      </c>
    </row>
    <row r="44" spans="2:10" x14ac:dyDescent="0.25">
      <c r="B44" s="5">
        <f t="shared" ca="1" si="0"/>
        <v>40</v>
      </c>
      <c r="C44" s="6" t="s">
        <v>94</v>
      </c>
      <c r="D44" s="3" t="s">
        <v>37</v>
      </c>
      <c r="E44" s="7" t="s">
        <v>17</v>
      </c>
      <c r="F44" s="8">
        <v>2023</v>
      </c>
      <c r="G44" s="24">
        <v>0.5</v>
      </c>
      <c r="H44" s="26" t="str">
        <f t="shared" si="1"/>
        <v/>
      </c>
      <c r="J44" s="24">
        <v>0.5</v>
      </c>
    </row>
    <row r="45" spans="2:10" x14ac:dyDescent="0.25">
      <c r="B45" s="5">
        <f t="shared" ca="1" si="0"/>
        <v>41</v>
      </c>
      <c r="C45" s="6" t="s">
        <v>82</v>
      </c>
      <c r="D45" s="3" t="s">
        <v>83</v>
      </c>
      <c r="E45" s="7" t="s">
        <v>17</v>
      </c>
      <c r="F45" s="8">
        <v>2023</v>
      </c>
      <c r="G45" s="24">
        <v>0.45</v>
      </c>
      <c r="H45" s="26" t="str">
        <f t="shared" si="1"/>
        <v/>
      </c>
      <c r="J45" s="24">
        <v>0.45</v>
      </c>
    </row>
    <row r="46" spans="2:10" x14ac:dyDescent="0.25">
      <c r="B46" s="5">
        <f t="shared" ca="1" si="0"/>
        <v>42</v>
      </c>
      <c r="C46" s="6" t="s">
        <v>60</v>
      </c>
      <c r="D46" s="3" t="s">
        <v>61</v>
      </c>
      <c r="E46" s="7" t="s">
        <v>17</v>
      </c>
      <c r="F46" s="8">
        <v>2023</v>
      </c>
      <c r="G46" s="24">
        <v>0.53</v>
      </c>
      <c r="H46" s="26" t="str">
        <f t="shared" si="1"/>
        <v/>
      </c>
      <c r="J46" s="24">
        <v>0.53</v>
      </c>
    </row>
    <row r="47" spans="2:10" x14ac:dyDescent="0.25">
      <c r="B47" s="5">
        <f t="shared" ca="1" si="0"/>
        <v>43</v>
      </c>
      <c r="C47" s="6" t="s">
        <v>76</v>
      </c>
      <c r="D47" s="3" t="s">
        <v>61</v>
      </c>
      <c r="E47" s="7" t="s">
        <v>17</v>
      </c>
      <c r="F47" s="8">
        <v>2023</v>
      </c>
      <c r="G47" s="24">
        <v>0.18</v>
      </c>
      <c r="H47" s="26" t="str">
        <f t="shared" si="1"/>
        <v/>
      </c>
      <c r="J47" s="24">
        <v>0.18</v>
      </c>
    </row>
    <row r="48" spans="2:10" x14ac:dyDescent="0.25">
      <c r="B48" s="5">
        <f t="shared" ca="1" si="0"/>
        <v>44</v>
      </c>
      <c r="C48" s="6" t="s">
        <v>89</v>
      </c>
      <c r="D48" s="3" t="s">
        <v>61</v>
      </c>
      <c r="E48" s="7" t="s">
        <v>17</v>
      </c>
      <c r="F48" s="8">
        <v>2024</v>
      </c>
      <c r="G48" s="24">
        <v>0.24</v>
      </c>
      <c r="H48" s="26" t="str">
        <f t="shared" si="1"/>
        <v/>
      </c>
      <c r="J48" s="24">
        <v>0.24</v>
      </c>
    </row>
    <row r="49" spans="2:10" x14ac:dyDescent="0.25">
      <c r="B49" s="5">
        <f ca="1">IFERROR(OFFSET(B49,-1,0,1,1)+1,"")</f>
        <v>45</v>
      </c>
      <c r="C49" s="6" t="s">
        <v>73</v>
      </c>
      <c r="D49" s="3" t="s">
        <v>34</v>
      </c>
      <c r="E49" s="7" t="s">
        <v>17</v>
      </c>
      <c r="F49" s="8">
        <v>2023</v>
      </c>
      <c r="G49" s="24">
        <v>0.69</v>
      </c>
      <c r="H49" s="26" t="str">
        <f t="shared" si="1"/>
        <v/>
      </c>
      <c r="J49" s="24">
        <v>0.69</v>
      </c>
    </row>
    <row r="50" spans="2:10" x14ac:dyDescent="0.25">
      <c r="B50" s="5">
        <f ca="1">IFERROR(OFFSET(B50,-1,0,1,1)+1,"")</f>
        <v>46</v>
      </c>
      <c r="C50" s="6" t="s">
        <v>53</v>
      </c>
      <c r="D50" s="3" t="s">
        <v>54</v>
      </c>
      <c r="E50" s="7" t="s">
        <v>17</v>
      </c>
      <c r="F50" s="8">
        <v>2023</v>
      </c>
      <c r="G50" s="24">
        <v>0.06</v>
      </c>
      <c r="H50" s="26" t="str">
        <f t="shared" si="1"/>
        <v/>
      </c>
      <c r="J50" s="24">
        <v>0.06</v>
      </c>
    </row>
    <row r="51" spans="2:10" x14ac:dyDescent="0.25">
      <c r="B51" s="5">
        <f ca="1">IFERROR(OFFSET(B51,-1,0,1,1)+1,"")</f>
        <v>47</v>
      </c>
      <c r="C51" s="6" t="s">
        <v>63</v>
      </c>
      <c r="D51" s="3" t="s">
        <v>54</v>
      </c>
      <c r="E51" s="7" t="s">
        <v>17</v>
      </c>
      <c r="F51" s="8">
        <v>2023</v>
      </c>
      <c r="G51" s="24">
        <v>0.09</v>
      </c>
      <c r="H51" s="26" t="str">
        <f t="shared" si="1"/>
        <v/>
      </c>
      <c r="J51" s="24">
        <v>0.09</v>
      </c>
    </row>
    <row r="52" spans="2:10" x14ac:dyDescent="0.25">
      <c r="B52" s="5">
        <f ca="1">IFERROR(OFFSET(B52,-1,0,1,1)+1,"")</f>
        <v>48</v>
      </c>
      <c r="C52" s="6" t="s">
        <v>69</v>
      </c>
      <c r="D52" s="3" t="s">
        <v>70</v>
      </c>
      <c r="E52" s="7" t="s">
        <v>17</v>
      </c>
      <c r="F52" s="8">
        <v>2023</v>
      </c>
      <c r="G52" s="24">
        <v>0.05</v>
      </c>
      <c r="H52" s="26" t="str">
        <f t="shared" si="1"/>
        <v/>
      </c>
      <c r="J52" s="24">
        <v>0.05</v>
      </c>
    </row>
    <row r="53" spans="2:10" x14ac:dyDescent="0.25">
      <c r="B53" s="5">
        <f t="shared" ca="1" si="0"/>
        <v>49</v>
      </c>
      <c r="C53" s="6" t="s">
        <v>97</v>
      </c>
      <c r="D53" s="3" t="s">
        <v>70</v>
      </c>
      <c r="E53" s="7" t="s">
        <v>17</v>
      </c>
      <c r="F53" s="8">
        <v>2023</v>
      </c>
      <c r="G53" s="24">
        <v>0.09</v>
      </c>
      <c r="H53" s="26" t="str">
        <f t="shared" si="1"/>
        <v/>
      </c>
      <c r="J53" s="24">
        <v>0.09</v>
      </c>
    </row>
    <row r="54" spans="2:10" x14ac:dyDescent="0.25">
      <c r="B54" s="5">
        <f t="shared" ca="1" si="0"/>
        <v>50</v>
      </c>
      <c r="C54" s="6" t="s">
        <v>99</v>
      </c>
      <c r="D54" s="3" t="s">
        <v>70</v>
      </c>
      <c r="E54" s="7" t="s">
        <v>17</v>
      </c>
      <c r="F54" s="8">
        <v>2023</v>
      </c>
      <c r="G54" s="24">
        <v>0.27</v>
      </c>
      <c r="H54" s="26" t="str">
        <f t="shared" si="1"/>
        <v/>
      </c>
      <c r="J54" s="24">
        <v>0.27</v>
      </c>
    </row>
    <row r="55" spans="2:10" x14ac:dyDescent="0.25">
      <c r="B55" s="5">
        <f t="shared" ca="1" si="0"/>
        <v>51</v>
      </c>
      <c r="C55" s="6" t="s">
        <v>59</v>
      </c>
      <c r="D55" s="3" t="s">
        <v>13</v>
      </c>
      <c r="E55" s="27" t="s">
        <v>17</v>
      </c>
      <c r="F55" s="28">
        <v>2024</v>
      </c>
      <c r="G55" s="24">
        <v>0.38</v>
      </c>
      <c r="H55" s="26" t="str">
        <f t="shared" si="1"/>
        <v/>
      </c>
      <c r="J55" s="24">
        <v>0.38</v>
      </c>
    </row>
    <row r="56" spans="2:10" x14ac:dyDescent="0.25">
      <c r="B56" s="5">
        <f t="shared" ca="1" si="0"/>
        <v>52</v>
      </c>
      <c r="C56" s="6" t="s">
        <v>23</v>
      </c>
      <c r="D56" s="3" t="s">
        <v>13</v>
      </c>
      <c r="E56" s="7" t="s">
        <v>17</v>
      </c>
      <c r="F56" s="8">
        <v>2023</v>
      </c>
      <c r="G56" s="24">
        <v>0.55000000000000004</v>
      </c>
      <c r="H56" s="26" t="str">
        <f t="shared" si="1"/>
        <v/>
      </c>
      <c r="J56" s="24">
        <v>0.55000000000000004</v>
      </c>
    </row>
    <row r="57" spans="2:10" x14ac:dyDescent="0.25">
      <c r="B57" s="5">
        <f t="shared" ca="1" si="0"/>
        <v>53</v>
      </c>
      <c r="C57" s="6" t="s">
        <v>86</v>
      </c>
      <c r="D57" s="3" t="s">
        <v>13</v>
      </c>
      <c r="E57" s="7" t="s">
        <v>17</v>
      </c>
      <c r="F57" s="8">
        <v>2023</v>
      </c>
      <c r="G57" s="24">
        <v>0.04</v>
      </c>
      <c r="H57" s="26" t="str">
        <f t="shared" si="1"/>
        <v/>
      </c>
      <c r="J57" s="24">
        <v>0.04</v>
      </c>
    </row>
    <row r="58" spans="2:10" x14ac:dyDescent="0.25">
      <c r="B58" s="5">
        <f t="shared" ca="1" si="0"/>
        <v>54</v>
      </c>
      <c r="C58" s="6" t="s">
        <v>87</v>
      </c>
      <c r="D58" s="3" t="s">
        <v>13</v>
      </c>
      <c r="E58" s="7" t="s">
        <v>17</v>
      </c>
      <c r="F58" s="8">
        <v>2024</v>
      </c>
      <c r="G58" s="24">
        <v>0.5</v>
      </c>
      <c r="H58" s="26" t="str">
        <f t="shared" si="1"/>
        <v/>
      </c>
      <c r="J58" s="24">
        <v>0.5</v>
      </c>
    </row>
    <row r="59" spans="2:10" x14ac:dyDescent="0.25">
      <c r="B59" s="5">
        <f t="shared" ca="1" si="0"/>
        <v>55</v>
      </c>
      <c r="C59" s="6" t="s">
        <v>88</v>
      </c>
      <c r="D59" s="3" t="s">
        <v>13</v>
      </c>
      <c r="E59" s="7" t="s">
        <v>17</v>
      </c>
      <c r="F59" s="8">
        <v>2024</v>
      </c>
      <c r="G59" s="24">
        <v>0</v>
      </c>
      <c r="H59" s="26" t="str">
        <f t="shared" si="1"/>
        <v/>
      </c>
      <c r="J59" s="24">
        <v>0</v>
      </c>
    </row>
    <row r="60" spans="2:10" x14ac:dyDescent="0.25">
      <c r="B60" s="5">
        <f t="shared" ca="1" si="0"/>
        <v>56</v>
      </c>
      <c r="C60" s="6" t="s">
        <v>27</v>
      </c>
      <c r="D60" s="3" t="s">
        <v>13</v>
      </c>
      <c r="E60" s="7" t="s">
        <v>17</v>
      </c>
      <c r="F60" s="8">
        <v>2023</v>
      </c>
      <c r="G60" s="24">
        <v>0.35</v>
      </c>
      <c r="H60" s="26" t="str">
        <f t="shared" si="1"/>
        <v/>
      </c>
      <c r="J60" s="24">
        <v>0.35</v>
      </c>
    </row>
    <row r="61" spans="2:10" x14ac:dyDescent="0.25">
      <c r="B61" s="5">
        <f t="shared" ca="1" si="0"/>
        <v>57</v>
      </c>
      <c r="C61" s="6" t="s">
        <v>90</v>
      </c>
      <c r="D61" s="3" t="s">
        <v>13</v>
      </c>
      <c r="E61" s="7" t="s">
        <v>17</v>
      </c>
      <c r="F61" s="8">
        <v>2023</v>
      </c>
      <c r="G61" s="24">
        <v>0.35</v>
      </c>
      <c r="H61" s="26" t="str">
        <f t="shared" si="1"/>
        <v/>
      </c>
      <c r="J61" s="24">
        <v>0.35</v>
      </c>
    </row>
    <row r="62" spans="2:10" x14ac:dyDescent="0.25">
      <c r="B62" s="5">
        <f t="shared" ca="1" si="0"/>
        <v>58</v>
      </c>
      <c r="C62" s="6" t="s">
        <v>16</v>
      </c>
      <c r="D62" s="3" t="s">
        <v>13</v>
      </c>
      <c r="E62" s="7" t="s">
        <v>17</v>
      </c>
      <c r="F62" s="8">
        <v>2023</v>
      </c>
      <c r="G62" s="24">
        <v>0.32</v>
      </c>
      <c r="H62" s="26" t="str">
        <f t="shared" si="1"/>
        <v/>
      </c>
      <c r="J62" s="24">
        <v>0.32</v>
      </c>
    </row>
    <row r="63" spans="2:10" x14ac:dyDescent="0.25">
      <c r="B63" s="5">
        <f t="shared" ca="1" si="0"/>
        <v>59</v>
      </c>
      <c r="C63" s="6" t="s">
        <v>20</v>
      </c>
      <c r="D63" s="3" t="s">
        <v>13</v>
      </c>
      <c r="E63" s="7" t="s">
        <v>17</v>
      </c>
      <c r="F63" s="8">
        <v>2023</v>
      </c>
      <c r="G63" s="24">
        <v>0.93</v>
      </c>
      <c r="H63" s="26" t="str">
        <f t="shared" si="1"/>
        <v/>
      </c>
      <c r="J63" s="24">
        <v>0.93</v>
      </c>
    </row>
    <row r="64" spans="2:10" x14ac:dyDescent="0.25">
      <c r="B64" s="5">
        <f t="shared" ca="1" si="0"/>
        <v>60</v>
      </c>
      <c r="C64" s="6" t="s">
        <v>21</v>
      </c>
      <c r="D64" s="3" t="s">
        <v>13</v>
      </c>
      <c r="E64" s="7" t="s">
        <v>17</v>
      </c>
      <c r="F64" s="8">
        <v>2023</v>
      </c>
      <c r="G64" s="24">
        <v>0.43</v>
      </c>
      <c r="H64" s="26" t="str">
        <f t="shared" si="1"/>
        <v/>
      </c>
      <c r="J64" s="24">
        <v>0.43</v>
      </c>
    </row>
    <row r="65" spans="2:10" x14ac:dyDescent="0.25">
      <c r="B65" s="5">
        <f t="shared" ca="1" si="0"/>
        <v>61</v>
      </c>
      <c r="C65" s="6" t="s">
        <v>26</v>
      </c>
      <c r="D65" s="3" t="s">
        <v>13</v>
      </c>
      <c r="E65" s="7" t="s">
        <v>17</v>
      </c>
      <c r="F65" s="8">
        <v>2023</v>
      </c>
      <c r="G65" s="24">
        <v>0.43</v>
      </c>
      <c r="H65" s="26" t="str">
        <f t="shared" si="1"/>
        <v/>
      </c>
      <c r="J65" s="24">
        <v>0.43</v>
      </c>
    </row>
    <row r="66" spans="2:10" x14ac:dyDescent="0.25">
      <c r="B66" s="5">
        <f t="shared" ca="1" si="0"/>
        <v>62</v>
      </c>
      <c r="C66" s="6" t="s">
        <v>27</v>
      </c>
      <c r="D66" s="3" t="s">
        <v>13</v>
      </c>
      <c r="E66" s="7" t="s">
        <v>17</v>
      </c>
      <c r="F66" s="8">
        <v>2023</v>
      </c>
      <c r="G66" s="24">
        <v>0.35</v>
      </c>
      <c r="H66" s="26" t="str">
        <f t="shared" si="1"/>
        <v/>
      </c>
      <c r="J66" s="24">
        <v>0.35</v>
      </c>
    </row>
    <row r="67" spans="2:10" x14ac:dyDescent="0.25">
      <c r="B67" s="5">
        <f t="shared" ca="1" si="0"/>
        <v>63</v>
      </c>
      <c r="C67" s="6" t="s">
        <v>144</v>
      </c>
      <c r="D67" s="3" t="s">
        <v>13</v>
      </c>
      <c r="E67" s="7" t="s">
        <v>17</v>
      </c>
      <c r="F67" s="8">
        <v>2024</v>
      </c>
      <c r="G67" s="24">
        <v>0</v>
      </c>
      <c r="H67" s="26" t="str">
        <f t="shared" si="1"/>
        <v/>
      </c>
      <c r="J67" s="24">
        <v>0</v>
      </c>
    </row>
    <row r="68" spans="2:10" x14ac:dyDescent="0.25">
      <c r="B68" s="5">
        <f ca="1">IFERROR(OFFSET(B68,-1,0,1,1)+1,"")</f>
        <v>64</v>
      </c>
      <c r="C68" s="6" t="s">
        <v>145</v>
      </c>
      <c r="D68" s="3" t="s">
        <v>13</v>
      </c>
      <c r="E68" s="7" t="s">
        <v>17</v>
      </c>
      <c r="F68" s="8">
        <v>2024</v>
      </c>
      <c r="G68" s="24">
        <v>0</v>
      </c>
      <c r="H68" s="26" t="str">
        <f t="shared" si="1"/>
        <v/>
      </c>
      <c r="J68" s="24">
        <v>0</v>
      </c>
    </row>
    <row r="69" spans="2:10" x14ac:dyDescent="0.25">
      <c r="B69" s="5">
        <f ca="1">IFERROR(OFFSET(B69,-1,0,1,1)+1,"")</f>
        <v>65</v>
      </c>
      <c r="C69" s="6" t="s">
        <v>146</v>
      </c>
      <c r="D69" s="3" t="s">
        <v>13</v>
      </c>
      <c r="E69" s="7" t="s">
        <v>17</v>
      </c>
      <c r="F69" s="8">
        <v>2024</v>
      </c>
      <c r="G69" s="24">
        <v>0</v>
      </c>
      <c r="H69" s="26" t="str">
        <f t="shared" si="1"/>
        <v/>
      </c>
      <c r="J69" s="24">
        <v>0</v>
      </c>
    </row>
    <row r="70" spans="2:10" x14ac:dyDescent="0.25">
      <c r="B70" s="5">
        <f t="shared" ca="1" si="0"/>
        <v>66</v>
      </c>
      <c r="C70" s="6" t="s">
        <v>22</v>
      </c>
      <c r="D70" s="3" t="s">
        <v>11</v>
      </c>
      <c r="E70" s="7" t="s">
        <v>17</v>
      </c>
      <c r="F70" s="8">
        <v>2023</v>
      </c>
      <c r="G70" s="24">
        <v>0.24</v>
      </c>
      <c r="H70" s="26" t="str">
        <f t="shared" si="1"/>
        <v/>
      </c>
      <c r="J70" s="24">
        <v>0.24</v>
      </c>
    </row>
    <row r="71" spans="2:10" x14ac:dyDescent="0.25">
      <c r="B71" s="5">
        <f t="shared" ca="1" si="0"/>
        <v>67</v>
      </c>
      <c r="C71" s="6" t="s">
        <v>30</v>
      </c>
      <c r="D71" s="3" t="s">
        <v>19</v>
      </c>
      <c r="E71" s="7" t="s">
        <v>17</v>
      </c>
      <c r="F71" s="8">
        <v>2023</v>
      </c>
      <c r="G71" s="24">
        <v>0.45</v>
      </c>
      <c r="H71" s="26" t="str">
        <f t="shared" si="1"/>
        <v/>
      </c>
      <c r="J71" s="24">
        <v>0.45</v>
      </c>
    </row>
    <row r="72" spans="2:10" x14ac:dyDescent="0.25">
      <c r="B72" s="5">
        <f t="shared" ca="1" si="0"/>
        <v>68</v>
      </c>
      <c r="C72" s="6" t="s">
        <v>78</v>
      </c>
      <c r="D72" s="3" t="s">
        <v>19</v>
      </c>
      <c r="E72" s="7" t="s">
        <v>17</v>
      </c>
      <c r="F72" s="8">
        <v>2023</v>
      </c>
      <c r="G72" s="24">
        <v>0.06</v>
      </c>
      <c r="H72" s="26" t="str">
        <f t="shared" si="1"/>
        <v/>
      </c>
      <c r="J72" s="24">
        <v>0.06</v>
      </c>
    </row>
    <row r="73" spans="2:10" x14ac:dyDescent="0.25">
      <c r="B73" s="5">
        <f t="shared" ca="1" si="0"/>
        <v>69</v>
      </c>
      <c r="C73" s="6" t="s">
        <v>91</v>
      </c>
      <c r="D73" s="3" t="s">
        <v>19</v>
      </c>
      <c r="E73" s="7" t="s">
        <v>17</v>
      </c>
      <c r="F73" s="8">
        <v>2024</v>
      </c>
      <c r="G73" s="24">
        <v>0.15</v>
      </c>
      <c r="H73" s="26" t="str">
        <f t="shared" si="1"/>
        <v/>
      </c>
      <c r="J73" s="24">
        <v>0.15</v>
      </c>
    </row>
    <row r="74" spans="2:10" x14ac:dyDescent="0.25">
      <c r="B74" s="5">
        <f t="shared" ca="1" si="0"/>
        <v>70</v>
      </c>
      <c r="C74" s="6" t="s">
        <v>92</v>
      </c>
      <c r="D74" s="3" t="s">
        <v>19</v>
      </c>
      <c r="E74" s="7" t="s">
        <v>17</v>
      </c>
      <c r="F74" s="8">
        <v>2024</v>
      </c>
      <c r="G74" s="24">
        <v>0.28999999999999998</v>
      </c>
      <c r="H74" s="26" t="str">
        <f t="shared" si="1"/>
        <v/>
      </c>
      <c r="J74" s="24">
        <v>0.28999999999999998</v>
      </c>
    </row>
    <row r="75" spans="2:10" x14ac:dyDescent="0.25">
      <c r="B75" s="5">
        <f t="shared" ca="1" si="0"/>
        <v>71</v>
      </c>
      <c r="C75" s="6" t="s">
        <v>25</v>
      </c>
      <c r="D75" s="3" t="s">
        <v>19</v>
      </c>
      <c r="E75" s="7" t="s">
        <v>17</v>
      </c>
      <c r="F75" s="8">
        <v>2023</v>
      </c>
      <c r="G75" s="24">
        <v>0.4</v>
      </c>
      <c r="H75" s="26" t="str">
        <f t="shared" si="1"/>
        <v/>
      </c>
      <c r="J75" s="24">
        <v>0.4</v>
      </c>
    </row>
    <row r="76" spans="2:10" x14ac:dyDescent="0.25">
      <c r="B76" s="5">
        <f ca="1">IFERROR(OFFSET(B76,-1,0,1,1)+1,"")</f>
        <v>72</v>
      </c>
      <c r="C76" s="6" t="s">
        <v>18</v>
      </c>
      <c r="D76" s="3" t="s">
        <v>19</v>
      </c>
      <c r="E76" s="7" t="s">
        <v>17</v>
      </c>
      <c r="F76" s="8">
        <v>2023</v>
      </c>
      <c r="G76" s="24">
        <v>0.31</v>
      </c>
      <c r="H76" s="26" t="str">
        <f t="shared" si="1"/>
        <v/>
      </c>
      <c r="J76" s="24">
        <v>0.31</v>
      </c>
    </row>
    <row r="77" spans="2:10" x14ac:dyDescent="0.25">
      <c r="B77" s="5">
        <f t="shared" ca="1" si="0"/>
        <v>73</v>
      </c>
      <c r="C77" s="6" t="s">
        <v>96</v>
      </c>
      <c r="D77" s="3" t="s">
        <v>19</v>
      </c>
      <c r="E77" s="7" t="s">
        <v>17</v>
      </c>
      <c r="F77" s="8">
        <v>2023</v>
      </c>
      <c r="G77" s="24">
        <v>0.45</v>
      </c>
      <c r="H77" s="26" t="str">
        <f t="shared" si="1"/>
        <v/>
      </c>
      <c r="J77" s="24">
        <v>0.45</v>
      </c>
    </row>
    <row r="78" spans="2:10" x14ac:dyDescent="0.25">
      <c r="B78" s="5">
        <f t="shared" ca="1" si="0"/>
        <v>74</v>
      </c>
      <c r="C78" s="6" t="s">
        <v>74</v>
      </c>
      <c r="D78" s="3" t="s">
        <v>75</v>
      </c>
      <c r="E78" s="7" t="s">
        <v>17</v>
      </c>
      <c r="F78" s="8">
        <v>2023</v>
      </c>
      <c r="G78" s="24">
        <v>0.35</v>
      </c>
      <c r="H78" s="26" t="str">
        <f t="shared" si="1"/>
        <v/>
      </c>
      <c r="J78" s="24">
        <v>0.35</v>
      </c>
    </row>
    <row r="79" spans="2:10" x14ac:dyDescent="0.25">
      <c r="B79" s="5">
        <f t="shared" ca="1" si="0"/>
        <v>75</v>
      </c>
      <c r="C79" s="6" t="s">
        <v>28</v>
      </c>
      <c r="D79" s="3" t="s">
        <v>29</v>
      </c>
      <c r="E79" s="7" t="s">
        <v>17</v>
      </c>
      <c r="F79" s="8">
        <v>2023</v>
      </c>
      <c r="G79" s="24">
        <v>0.38</v>
      </c>
      <c r="H79" s="26" t="str">
        <f t="shared" si="1"/>
        <v/>
      </c>
      <c r="J79" s="24">
        <v>0.38</v>
      </c>
    </row>
  </sheetData>
  <pageMargins left="0.7" right="0.7" top="0.75" bottom="0.75" header="0.3" footer="0.3"/>
  <pageSetup scale="76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8FC38-458E-487D-84B3-C406651B4114}">
  <sheetPr>
    <tabColor rgb="FF99FF33"/>
  </sheetPr>
  <dimension ref="B1:J80"/>
  <sheetViews>
    <sheetView topLeftCell="A10" zoomScaleNormal="100" workbookViewId="0">
      <selection activeCell="B27" sqref="B27"/>
    </sheetView>
  </sheetViews>
  <sheetFormatPr defaultRowHeight="13.2" x14ac:dyDescent="0.25"/>
  <cols>
    <col min="1" max="1" width="1.88671875" customWidth="1"/>
    <col min="2" max="2" width="5.109375" bestFit="1" customWidth="1"/>
    <col min="3" max="3" width="60.5546875" bestFit="1" customWidth="1"/>
    <col min="4" max="4" width="15.21875" customWidth="1"/>
    <col min="5" max="5" width="16.44140625" bestFit="1" customWidth="1"/>
    <col min="6" max="6" width="8.109375" bestFit="1" customWidth="1"/>
    <col min="7" max="7" width="12.5546875" style="1" customWidth="1"/>
    <col min="8" max="8" width="13" bestFit="1" customWidth="1"/>
  </cols>
  <sheetData>
    <row r="1" spans="2:10" ht="6.6" customHeight="1" x14ac:dyDescent="0.25"/>
    <row r="2" spans="2:10" ht="16.8" x14ac:dyDescent="0.3">
      <c r="B2" s="9" t="s">
        <v>0</v>
      </c>
    </row>
    <row r="3" spans="2:10" x14ac:dyDescent="0.25">
      <c r="B3" s="10" t="s">
        <v>1</v>
      </c>
      <c r="C3" s="2"/>
      <c r="D3" s="11" t="s">
        <v>31</v>
      </c>
      <c r="E3" s="12" t="s">
        <v>32</v>
      </c>
      <c r="G3" s="11" t="s">
        <v>2</v>
      </c>
      <c r="H3" s="13" t="s">
        <v>175</v>
      </c>
    </row>
    <row r="4" spans="2:10" s="4" customFormat="1" x14ac:dyDescent="0.25"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  <c r="G4" s="15" t="s">
        <v>8</v>
      </c>
      <c r="H4" s="14" t="s">
        <v>9</v>
      </c>
    </row>
    <row r="5" spans="2:10" x14ac:dyDescent="0.25">
      <c r="B5" s="16">
        <v>1</v>
      </c>
      <c r="C5" s="17" t="s">
        <v>10</v>
      </c>
      <c r="D5" s="18" t="s">
        <v>11</v>
      </c>
      <c r="E5" s="19">
        <v>44622</v>
      </c>
      <c r="F5" s="31">
        <v>2022</v>
      </c>
      <c r="G5" s="21">
        <v>1</v>
      </c>
      <c r="H5" s="22"/>
    </row>
    <row r="6" spans="2:10" x14ac:dyDescent="0.25">
      <c r="B6" s="16">
        <f ca="1">IFERROR(OFFSET(B6,-1,0,1,1)+1,"")</f>
        <v>2</v>
      </c>
      <c r="C6" s="17" t="s">
        <v>12</v>
      </c>
      <c r="D6" s="18" t="s">
        <v>13</v>
      </c>
      <c r="E6" s="19">
        <v>44641</v>
      </c>
      <c r="F6" s="31">
        <v>2022</v>
      </c>
      <c r="G6" s="21">
        <v>1</v>
      </c>
      <c r="H6" s="22"/>
    </row>
    <row r="7" spans="2:10" x14ac:dyDescent="0.25">
      <c r="B7" s="16">
        <f ca="1">IFERROR(OFFSET(B7,-1,0,1,1)+1,"")</f>
        <v>3</v>
      </c>
      <c r="C7" s="17" t="s">
        <v>14</v>
      </c>
      <c r="D7" s="18" t="s">
        <v>13</v>
      </c>
      <c r="E7" s="19">
        <v>44710</v>
      </c>
      <c r="F7" s="31">
        <v>2022</v>
      </c>
      <c r="G7" s="21">
        <v>1</v>
      </c>
      <c r="H7" s="22"/>
    </row>
    <row r="8" spans="2:10" x14ac:dyDescent="0.25">
      <c r="B8" s="16">
        <f ca="1">IFERROR(OFFSET(B8,-1,0,1,1)+1,"")</f>
        <v>4</v>
      </c>
      <c r="C8" s="17" t="s">
        <v>15</v>
      </c>
      <c r="D8" s="18" t="s">
        <v>13</v>
      </c>
      <c r="E8" s="19">
        <v>44724</v>
      </c>
      <c r="F8" s="31">
        <v>2022</v>
      </c>
      <c r="G8" s="21">
        <v>1</v>
      </c>
      <c r="H8" s="22"/>
    </row>
    <row r="9" spans="2:10" x14ac:dyDescent="0.25">
      <c r="B9" s="16">
        <f ca="1">IFERROR(OFFSET(B9,-1,0,1,1)+1,"")</f>
        <v>5</v>
      </c>
      <c r="C9" s="17" t="s">
        <v>33</v>
      </c>
      <c r="D9" s="18" t="s">
        <v>34</v>
      </c>
      <c r="E9" s="19">
        <v>44807</v>
      </c>
      <c r="F9" s="31">
        <v>2022</v>
      </c>
      <c r="G9" s="21">
        <v>1</v>
      </c>
      <c r="H9" s="23"/>
      <c r="J9" s="24"/>
    </row>
    <row r="10" spans="2:10" x14ac:dyDescent="0.25">
      <c r="B10" s="16">
        <f t="shared" ref="B10:B80" ca="1" si="0">IFERROR(OFFSET(B10,-1,0,1,1)+1,"")</f>
        <v>6</v>
      </c>
      <c r="C10" s="17" t="s">
        <v>35</v>
      </c>
      <c r="D10" s="18" t="s">
        <v>34</v>
      </c>
      <c r="E10" s="19">
        <v>44939</v>
      </c>
      <c r="F10" s="25">
        <v>2023</v>
      </c>
      <c r="G10" s="21">
        <v>1</v>
      </c>
      <c r="H10" s="23"/>
      <c r="J10" s="24"/>
    </row>
    <row r="11" spans="2:10" x14ac:dyDescent="0.25">
      <c r="B11" s="16">
        <f t="shared" ca="1" si="0"/>
        <v>7</v>
      </c>
      <c r="C11" s="17" t="s">
        <v>24</v>
      </c>
      <c r="D11" s="18" t="s">
        <v>13</v>
      </c>
      <c r="E11" s="19">
        <v>44958</v>
      </c>
      <c r="F11" s="25">
        <v>2023</v>
      </c>
      <c r="G11" s="21">
        <v>1</v>
      </c>
      <c r="H11" s="23"/>
      <c r="J11" s="24"/>
    </row>
    <row r="12" spans="2:10" x14ac:dyDescent="0.25">
      <c r="B12" s="16">
        <f t="shared" ca="1" si="0"/>
        <v>8</v>
      </c>
      <c r="C12" s="17" t="s">
        <v>36</v>
      </c>
      <c r="D12" s="18" t="s">
        <v>37</v>
      </c>
      <c r="E12" s="19">
        <v>45001</v>
      </c>
      <c r="F12" s="25">
        <v>2023</v>
      </c>
      <c r="G12" s="21">
        <v>1</v>
      </c>
      <c r="H12" s="23"/>
      <c r="J12" s="24"/>
    </row>
    <row r="13" spans="2:10" x14ac:dyDescent="0.25">
      <c r="B13" s="16">
        <f t="shared" ca="1" si="0"/>
        <v>9</v>
      </c>
      <c r="C13" s="17" t="s">
        <v>38</v>
      </c>
      <c r="D13" s="18" t="s">
        <v>13</v>
      </c>
      <c r="E13" s="19">
        <v>45003</v>
      </c>
      <c r="F13" s="25">
        <v>2023</v>
      </c>
      <c r="G13" s="21">
        <v>1</v>
      </c>
      <c r="H13" s="23"/>
      <c r="J13" s="24"/>
    </row>
    <row r="14" spans="2:10" x14ac:dyDescent="0.25">
      <c r="B14" s="16">
        <f t="shared" ca="1" si="0"/>
        <v>10</v>
      </c>
      <c r="C14" s="17" t="s">
        <v>39</v>
      </c>
      <c r="D14" s="18" t="s">
        <v>40</v>
      </c>
      <c r="E14" s="19">
        <v>45080</v>
      </c>
      <c r="F14" s="25">
        <v>2023</v>
      </c>
      <c r="G14" s="21">
        <v>1</v>
      </c>
      <c r="H14" s="22"/>
    </row>
    <row r="15" spans="2:10" x14ac:dyDescent="0.25">
      <c r="B15" s="16">
        <f t="shared" ca="1" si="0"/>
        <v>11</v>
      </c>
      <c r="C15" s="17" t="s">
        <v>41</v>
      </c>
      <c r="D15" s="18" t="s">
        <v>40</v>
      </c>
      <c r="E15" s="19" t="s">
        <v>42</v>
      </c>
      <c r="F15" s="25">
        <v>2023</v>
      </c>
      <c r="G15" s="21">
        <v>1</v>
      </c>
      <c r="H15" s="22"/>
    </row>
    <row r="16" spans="2:10" x14ac:dyDescent="0.25">
      <c r="B16" s="16">
        <f t="shared" ca="1" si="0"/>
        <v>12</v>
      </c>
      <c r="C16" s="17" t="s">
        <v>43</v>
      </c>
      <c r="D16" s="18" t="s">
        <v>11</v>
      </c>
      <c r="E16" s="19" t="s">
        <v>44</v>
      </c>
      <c r="F16" s="25">
        <v>2023</v>
      </c>
      <c r="G16" s="21">
        <v>1</v>
      </c>
      <c r="H16" s="23"/>
      <c r="J16" s="24"/>
    </row>
    <row r="17" spans="2:10" x14ac:dyDescent="0.25">
      <c r="B17" s="16">
        <f t="shared" ca="1" si="0"/>
        <v>13</v>
      </c>
      <c r="C17" s="17" t="s">
        <v>45</v>
      </c>
      <c r="D17" s="18" t="s">
        <v>11</v>
      </c>
      <c r="E17" s="19" t="s">
        <v>46</v>
      </c>
      <c r="F17" s="25">
        <v>2023</v>
      </c>
      <c r="G17" s="21">
        <v>1</v>
      </c>
      <c r="H17" s="23"/>
      <c r="J17" s="24"/>
    </row>
    <row r="18" spans="2:10" x14ac:dyDescent="0.25">
      <c r="B18" s="16">
        <f t="shared" ca="1" si="0"/>
        <v>14</v>
      </c>
      <c r="C18" s="17" t="s">
        <v>47</v>
      </c>
      <c r="D18" s="18" t="s">
        <v>11</v>
      </c>
      <c r="E18" s="19" t="s">
        <v>48</v>
      </c>
      <c r="F18" s="25">
        <v>2023</v>
      </c>
      <c r="G18" s="21">
        <v>1</v>
      </c>
      <c r="H18" s="23"/>
      <c r="J18" s="24"/>
    </row>
    <row r="19" spans="2:10" x14ac:dyDescent="0.25">
      <c r="B19" s="16">
        <f t="shared" ca="1" si="0"/>
        <v>15</v>
      </c>
      <c r="C19" s="17" t="s">
        <v>49</v>
      </c>
      <c r="D19" s="18" t="s">
        <v>13</v>
      </c>
      <c r="E19" s="19" t="s">
        <v>50</v>
      </c>
      <c r="F19" s="30">
        <v>2024</v>
      </c>
      <c r="G19" s="21">
        <v>1</v>
      </c>
      <c r="H19" s="23"/>
      <c r="J19" s="24"/>
    </row>
    <row r="20" spans="2:10" x14ac:dyDescent="0.25">
      <c r="B20" s="16">
        <f t="shared" ca="1" si="0"/>
        <v>16</v>
      </c>
      <c r="C20" s="17" t="s">
        <v>51</v>
      </c>
      <c r="D20" s="18" t="s">
        <v>11</v>
      </c>
      <c r="E20" s="19" t="s">
        <v>52</v>
      </c>
      <c r="F20" s="30">
        <v>2024</v>
      </c>
      <c r="G20" s="21">
        <v>1</v>
      </c>
      <c r="H20" s="23"/>
      <c r="J20" s="24"/>
    </row>
    <row r="21" spans="2:10" x14ac:dyDescent="0.25">
      <c r="B21" s="16">
        <f t="shared" ca="1" si="0"/>
        <v>17</v>
      </c>
      <c r="C21" s="17" t="s">
        <v>152</v>
      </c>
      <c r="D21" s="18" t="s">
        <v>54</v>
      </c>
      <c r="E21" s="19" t="s">
        <v>153</v>
      </c>
      <c r="F21" s="30">
        <v>2024</v>
      </c>
      <c r="G21" s="21">
        <v>1</v>
      </c>
      <c r="H21" s="23"/>
      <c r="J21" s="24"/>
    </row>
    <row r="22" spans="2:10" x14ac:dyDescent="0.25">
      <c r="B22" s="16">
        <f ca="1">IFERROR(OFFSET(B22,-1,0,1,1)+1,"")</f>
        <v>18</v>
      </c>
      <c r="C22" s="17" t="s">
        <v>151</v>
      </c>
      <c r="D22" s="18" t="s">
        <v>11</v>
      </c>
      <c r="E22" s="19" t="s">
        <v>163</v>
      </c>
      <c r="F22" s="30">
        <v>2024</v>
      </c>
      <c r="G22" s="21">
        <v>1</v>
      </c>
      <c r="H22" s="23"/>
      <c r="J22" s="24"/>
    </row>
    <row r="23" spans="2:10" x14ac:dyDescent="0.25">
      <c r="B23" s="16">
        <f t="shared" ca="1" si="0"/>
        <v>19</v>
      </c>
      <c r="C23" s="17" t="s">
        <v>173</v>
      </c>
      <c r="D23" s="18" t="s">
        <v>11</v>
      </c>
      <c r="E23" s="19" t="s">
        <v>174</v>
      </c>
      <c r="F23" s="35">
        <v>2025</v>
      </c>
      <c r="G23" s="21">
        <v>1</v>
      </c>
      <c r="H23" s="23"/>
      <c r="J23" s="24"/>
    </row>
    <row r="24" spans="2:10" x14ac:dyDescent="0.25">
      <c r="B24" s="16">
        <f t="shared" ca="1" si="0"/>
        <v>20</v>
      </c>
      <c r="C24" s="17" t="s">
        <v>181</v>
      </c>
      <c r="D24" s="18" t="s">
        <v>11</v>
      </c>
      <c r="E24" s="19" t="s">
        <v>182</v>
      </c>
      <c r="F24" s="35">
        <v>2025</v>
      </c>
      <c r="G24" s="21">
        <v>1</v>
      </c>
      <c r="H24" s="23"/>
      <c r="J24" s="24"/>
    </row>
    <row r="25" spans="2:10" x14ac:dyDescent="0.25">
      <c r="B25" s="16">
        <f t="shared" ca="1" si="0"/>
        <v>21</v>
      </c>
      <c r="C25" s="17" t="s">
        <v>183</v>
      </c>
      <c r="D25" s="18" t="s">
        <v>57</v>
      </c>
      <c r="E25" s="19" t="s">
        <v>184</v>
      </c>
      <c r="F25" s="35">
        <v>2025</v>
      </c>
      <c r="G25" s="21">
        <v>1</v>
      </c>
      <c r="H25" s="23"/>
      <c r="J25" s="24"/>
    </row>
    <row r="26" spans="2:10" x14ac:dyDescent="0.25">
      <c r="B26" s="5">
        <f t="shared" ca="1" si="0"/>
        <v>22</v>
      </c>
      <c r="C26" s="6" t="s">
        <v>55</v>
      </c>
      <c r="D26" s="3" t="s">
        <v>40</v>
      </c>
      <c r="E26" s="7" t="s">
        <v>17</v>
      </c>
      <c r="F26" s="8">
        <v>2023</v>
      </c>
      <c r="G26" s="24">
        <v>0.21</v>
      </c>
      <c r="H26" s="26" t="str">
        <f t="shared" ref="H26:H57" si="1">IF(G26-J26=0,"",ROUND(G26-J26,2)*100&amp;"% Better")</f>
        <v/>
      </c>
      <c r="J26" s="24">
        <v>0.21</v>
      </c>
    </row>
    <row r="27" spans="2:10" x14ac:dyDescent="0.25">
      <c r="B27" s="5">
        <f t="shared" ca="1" si="0"/>
        <v>23</v>
      </c>
      <c r="C27" s="6" t="s">
        <v>95</v>
      </c>
      <c r="D27" s="3" t="s">
        <v>40</v>
      </c>
      <c r="E27" s="7" t="s">
        <v>17</v>
      </c>
      <c r="F27" s="8">
        <v>2023</v>
      </c>
      <c r="G27" s="24">
        <v>0.39</v>
      </c>
      <c r="H27" s="26" t="str">
        <f t="shared" si="1"/>
        <v/>
      </c>
      <c r="J27" s="24">
        <v>0.39</v>
      </c>
    </row>
    <row r="28" spans="2:10" x14ac:dyDescent="0.25">
      <c r="B28" s="5">
        <f t="shared" ca="1" si="0"/>
        <v>24</v>
      </c>
      <c r="C28" s="6" t="s">
        <v>98</v>
      </c>
      <c r="D28" s="3" t="s">
        <v>40</v>
      </c>
      <c r="E28" s="7" t="s">
        <v>17</v>
      </c>
      <c r="F28" s="8">
        <v>2023</v>
      </c>
      <c r="G28" s="24">
        <v>0.31</v>
      </c>
      <c r="H28" s="26" t="str">
        <f t="shared" si="1"/>
        <v/>
      </c>
      <c r="J28" s="24">
        <v>0.31</v>
      </c>
    </row>
    <row r="29" spans="2:10" x14ac:dyDescent="0.25">
      <c r="B29" s="5">
        <f t="shared" ca="1" si="0"/>
        <v>25</v>
      </c>
      <c r="C29" s="6" t="s">
        <v>71</v>
      </c>
      <c r="D29" s="3" t="s">
        <v>72</v>
      </c>
      <c r="E29" s="7" t="s">
        <v>17</v>
      </c>
      <c r="F29" s="8">
        <v>2023</v>
      </c>
      <c r="G29" s="24">
        <v>0.26</v>
      </c>
      <c r="H29" s="26" t="str">
        <f t="shared" si="1"/>
        <v/>
      </c>
      <c r="J29" s="24">
        <v>0.26</v>
      </c>
    </row>
    <row r="30" spans="2:10" x14ac:dyDescent="0.25">
      <c r="B30" s="5">
        <f t="shared" ca="1" si="0"/>
        <v>26</v>
      </c>
      <c r="C30" s="6" t="s">
        <v>84</v>
      </c>
      <c r="D30" s="3" t="s">
        <v>72</v>
      </c>
      <c r="E30" s="7" t="s">
        <v>17</v>
      </c>
      <c r="F30" s="8">
        <v>2024</v>
      </c>
      <c r="G30" s="24">
        <v>0</v>
      </c>
      <c r="H30" s="26" t="str">
        <f t="shared" si="1"/>
        <v/>
      </c>
      <c r="J30" s="24">
        <v>0</v>
      </c>
    </row>
    <row r="31" spans="2:10" x14ac:dyDescent="0.25">
      <c r="B31" s="5">
        <f t="shared" ca="1" si="0"/>
        <v>27</v>
      </c>
      <c r="C31" s="6" t="s">
        <v>80</v>
      </c>
      <c r="D31" s="3" t="s">
        <v>81</v>
      </c>
      <c r="E31" s="7" t="s">
        <v>17</v>
      </c>
      <c r="F31" s="8">
        <v>2023</v>
      </c>
      <c r="G31" s="24">
        <v>0.06</v>
      </c>
      <c r="H31" s="26" t="str">
        <f t="shared" si="1"/>
        <v/>
      </c>
      <c r="J31" s="24">
        <v>0.06</v>
      </c>
    </row>
    <row r="32" spans="2:10" x14ac:dyDescent="0.25">
      <c r="B32" s="5">
        <f t="shared" ca="1" si="0"/>
        <v>28</v>
      </c>
      <c r="C32" s="6" t="s">
        <v>56</v>
      </c>
      <c r="D32" s="3" t="s">
        <v>57</v>
      </c>
      <c r="E32" s="7" t="s">
        <v>17</v>
      </c>
      <c r="F32" s="8">
        <v>2024</v>
      </c>
      <c r="G32" s="24">
        <v>0.17</v>
      </c>
      <c r="H32" s="26" t="str">
        <f t="shared" si="1"/>
        <v/>
      </c>
      <c r="J32" s="24">
        <v>0.17</v>
      </c>
    </row>
    <row r="33" spans="2:10" x14ac:dyDescent="0.25">
      <c r="B33" s="5">
        <f t="shared" ca="1" si="0"/>
        <v>29</v>
      </c>
      <c r="C33" s="6" t="s">
        <v>58</v>
      </c>
      <c r="D33" s="3" t="s">
        <v>57</v>
      </c>
      <c r="E33" s="7" t="s">
        <v>17</v>
      </c>
      <c r="F33" s="8">
        <v>2024</v>
      </c>
      <c r="G33" s="24">
        <v>0.17</v>
      </c>
      <c r="H33" s="26" t="str">
        <f t="shared" si="1"/>
        <v/>
      </c>
      <c r="J33" s="24">
        <v>0.17</v>
      </c>
    </row>
    <row r="34" spans="2:10" x14ac:dyDescent="0.25">
      <c r="B34" s="5">
        <f t="shared" ca="1" si="0"/>
        <v>30</v>
      </c>
      <c r="C34" s="6" t="s">
        <v>62</v>
      </c>
      <c r="D34" s="3" t="s">
        <v>57</v>
      </c>
      <c r="E34" s="7" t="s">
        <v>17</v>
      </c>
      <c r="F34" s="8">
        <v>2024</v>
      </c>
      <c r="G34" s="24">
        <v>7.0000000000000007E-2</v>
      </c>
      <c r="H34" s="26" t="str">
        <f t="shared" si="1"/>
        <v/>
      </c>
      <c r="J34" s="24">
        <v>7.0000000000000007E-2</v>
      </c>
    </row>
    <row r="35" spans="2:10" x14ac:dyDescent="0.25">
      <c r="B35" s="5">
        <f t="shared" ca="1" si="0"/>
        <v>31</v>
      </c>
      <c r="C35" s="6" t="s">
        <v>66</v>
      </c>
      <c r="D35" s="3" t="s">
        <v>57</v>
      </c>
      <c r="E35" s="7" t="s">
        <v>17</v>
      </c>
      <c r="F35" s="8">
        <v>2024</v>
      </c>
      <c r="G35" s="24">
        <v>0.36</v>
      </c>
      <c r="H35" s="26" t="str">
        <f t="shared" si="1"/>
        <v/>
      </c>
      <c r="J35" s="24">
        <v>0.36</v>
      </c>
    </row>
    <row r="36" spans="2:10" x14ac:dyDescent="0.25">
      <c r="B36" s="5">
        <f t="shared" ca="1" si="0"/>
        <v>32</v>
      </c>
      <c r="C36" s="6" t="s">
        <v>67</v>
      </c>
      <c r="D36" s="3" t="s">
        <v>57</v>
      </c>
      <c r="E36" s="7" t="s">
        <v>17</v>
      </c>
      <c r="F36" s="8">
        <v>2024</v>
      </c>
      <c r="G36" s="24">
        <v>0.2</v>
      </c>
      <c r="H36" s="26" t="str">
        <f t="shared" si="1"/>
        <v/>
      </c>
      <c r="J36" s="24">
        <v>0.2</v>
      </c>
    </row>
    <row r="37" spans="2:10" x14ac:dyDescent="0.25">
      <c r="B37" s="5">
        <f t="shared" ca="1" si="0"/>
        <v>33</v>
      </c>
      <c r="C37" s="6" t="s">
        <v>68</v>
      </c>
      <c r="D37" s="3" t="s">
        <v>57</v>
      </c>
      <c r="E37" s="7" t="s">
        <v>17</v>
      </c>
      <c r="F37" s="8">
        <v>2024</v>
      </c>
      <c r="G37" s="24">
        <v>0.19</v>
      </c>
      <c r="H37" s="26" t="str">
        <f t="shared" si="1"/>
        <v/>
      </c>
      <c r="J37" s="24">
        <v>0.19</v>
      </c>
    </row>
    <row r="38" spans="2:10" x14ac:dyDescent="0.25">
      <c r="B38" s="5">
        <f t="shared" ca="1" si="0"/>
        <v>34</v>
      </c>
      <c r="C38" s="6" t="s">
        <v>142</v>
      </c>
      <c r="D38" s="3" t="s">
        <v>57</v>
      </c>
      <c r="E38" s="7" t="s">
        <v>17</v>
      </c>
      <c r="F38" s="8">
        <v>2024</v>
      </c>
      <c r="G38" s="24">
        <v>0</v>
      </c>
      <c r="H38" s="26" t="str">
        <f t="shared" si="1"/>
        <v/>
      </c>
      <c r="J38" s="24">
        <v>0</v>
      </c>
    </row>
    <row r="39" spans="2:10" x14ac:dyDescent="0.25">
      <c r="B39" s="5">
        <f t="shared" ca="1" si="0"/>
        <v>35</v>
      </c>
      <c r="C39" s="6" t="s">
        <v>143</v>
      </c>
      <c r="D39" s="3" t="s">
        <v>57</v>
      </c>
      <c r="E39" s="7" t="s">
        <v>17</v>
      </c>
      <c r="F39" s="8">
        <v>2024</v>
      </c>
      <c r="G39" s="24">
        <v>0</v>
      </c>
      <c r="H39" s="26" t="str">
        <f t="shared" si="1"/>
        <v/>
      </c>
      <c r="J39" s="24">
        <v>0</v>
      </c>
    </row>
    <row r="40" spans="2:10" x14ac:dyDescent="0.25">
      <c r="B40" s="5">
        <f ca="1">IFERROR(OFFSET(B40,-1,0,1,1)+1,"")</f>
        <v>36</v>
      </c>
      <c r="C40" s="6" t="s">
        <v>64</v>
      </c>
      <c r="D40" s="3" t="s">
        <v>57</v>
      </c>
      <c r="E40" s="7" t="s">
        <v>17</v>
      </c>
      <c r="F40" s="8">
        <v>2023</v>
      </c>
      <c r="G40" s="24">
        <v>0.64</v>
      </c>
      <c r="H40" s="26" t="str">
        <f t="shared" si="1"/>
        <v/>
      </c>
      <c r="J40" s="24">
        <v>0.64</v>
      </c>
    </row>
    <row r="41" spans="2:10" x14ac:dyDescent="0.25">
      <c r="B41" s="5">
        <f t="shared" ca="1" si="0"/>
        <v>37</v>
      </c>
      <c r="C41" s="6" t="s">
        <v>77</v>
      </c>
      <c r="D41" s="3" t="s">
        <v>37</v>
      </c>
      <c r="E41" s="7" t="s">
        <v>17</v>
      </c>
      <c r="F41" s="8">
        <v>2023</v>
      </c>
      <c r="G41" s="24">
        <v>0.21</v>
      </c>
      <c r="H41" s="26" t="str">
        <f t="shared" si="1"/>
        <v/>
      </c>
      <c r="J41" s="24">
        <v>0.21</v>
      </c>
    </row>
    <row r="42" spans="2:10" x14ac:dyDescent="0.25">
      <c r="B42" s="5">
        <f t="shared" ca="1" si="0"/>
        <v>38</v>
      </c>
      <c r="C42" s="6" t="s">
        <v>79</v>
      </c>
      <c r="D42" s="3" t="s">
        <v>37</v>
      </c>
      <c r="E42" s="7" t="s">
        <v>17</v>
      </c>
      <c r="F42" s="8">
        <v>2023</v>
      </c>
      <c r="G42" s="24">
        <v>0.11</v>
      </c>
      <c r="H42" s="26" t="str">
        <f t="shared" si="1"/>
        <v/>
      </c>
      <c r="J42" s="24">
        <v>0.11</v>
      </c>
    </row>
    <row r="43" spans="2:10" x14ac:dyDescent="0.25">
      <c r="B43" s="5">
        <f t="shared" ca="1" si="0"/>
        <v>39</v>
      </c>
      <c r="C43" s="6" t="s">
        <v>85</v>
      </c>
      <c r="D43" s="3" t="s">
        <v>37</v>
      </c>
      <c r="E43" s="7" t="s">
        <v>17</v>
      </c>
      <c r="F43" s="8">
        <v>2024</v>
      </c>
      <c r="G43" s="24">
        <v>0.16</v>
      </c>
      <c r="H43" s="26" t="str">
        <f t="shared" si="1"/>
        <v/>
      </c>
      <c r="J43" s="24">
        <v>0.16</v>
      </c>
    </row>
    <row r="44" spans="2:10" x14ac:dyDescent="0.25">
      <c r="B44" s="5">
        <f t="shared" ca="1" si="0"/>
        <v>40</v>
      </c>
      <c r="C44" s="6" t="s">
        <v>93</v>
      </c>
      <c r="D44" s="3" t="s">
        <v>37</v>
      </c>
      <c r="E44" s="7" t="s">
        <v>17</v>
      </c>
      <c r="F44" s="8">
        <v>2024</v>
      </c>
      <c r="G44" s="24">
        <v>0.14000000000000001</v>
      </c>
      <c r="H44" s="26" t="str">
        <f t="shared" si="1"/>
        <v/>
      </c>
      <c r="J44" s="24">
        <v>0.14000000000000001</v>
      </c>
    </row>
    <row r="45" spans="2:10" x14ac:dyDescent="0.25">
      <c r="B45" s="5">
        <f t="shared" ca="1" si="0"/>
        <v>41</v>
      </c>
      <c r="C45" s="6" t="s">
        <v>94</v>
      </c>
      <c r="D45" s="3" t="s">
        <v>37</v>
      </c>
      <c r="E45" s="7" t="s">
        <v>17</v>
      </c>
      <c r="F45" s="8">
        <v>2023</v>
      </c>
      <c r="G45" s="24">
        <v>0.5</v>
      </c>
      <c r="H45" s="26" t="str">
        <f t="shared" si="1"/>
        <v/>
      </c>
      <c r="J45" s="24">
        <v>0.5</v>
      </c>
    </row>
    <row r="46" spans="2:10" x14ac:dyDescent="0.25">
      <c r="B46" s="5">
        <f t="shared" ca="1" si="0"/>
        <v>42</v>
      </c>
      <c r="C46" s="6" t="s">
        <v>82</v>
      </c>
      <c r="D46" s="3" t="s">
        <v>83</v>
      </c>
      <c r="E46" s="7" t="s">
        <v>17</v>
      </c>
      <c r="F46" s="8">
        <v>2023</v>
      </c>
      <c r="G46" s="24">
        <v>0.45</v>
      </c>
      <c r="H46" s="26" t="str">
        <f t="shared" si="1"/>
        <v/>
      </c>
      <c r="J46" s="24">
        <v>0.45</v>
      </c>
    </row>
    <row r="47" spans="2:10" x14ac:dyDescent="0.25">
      <c r="B47" s="5">
        <f t="shared" ca="1" si="0"/>
        <v>43</v>
      </c>
      <c r="C47" s="6" t="s">
        <v>60</v>
      </c>
      <c r="D47" s="3" t="s">
        <v>61</v>
      </c>
      <c r="E47" s="7" t="s">
        <v>17</v>
      </c>
      <c r="F47" s="8">
        <v>2023</v>
      </c>
      <c r="G47" s="24">
        <v>0.53</v>
      </c>
      <c r="H47" s="26" t="str">
        <f t="shared" si="1"/>
        <v/>
      </c>
      <c r="J47" s="24">
        <v>0.53</v>
      </c>
    </row>
    <row r="48" spans="2:10" x14ac:dyDescent="0.25">
      <c r="B48" s="5">
        <f t="shared" ca="1" si="0"/>
        <v>44</v>
      </c>
      <c r="C48" s="6" t="s">
        <v>76</v>
      </c>
      <c r="D48" s="3" t="s">
        <v>61</v>
      </c>
      <c r="E48" s="7" t="s">
        <v>17</v>
      </c>
      <c r="F48" s="8">
        <v>2023</v>
      </c>
      <c r="G48" s="24">
        <v>0.18</v>
      </c>
      <c r="H48" s="26" t="str">
        <f t="shared" si="1"/>
        <v/>
      </c>
      <c r="J48" s="24">
        <v>0.18</v>
      </c>
    </row>
    <row r="49" spans="2:10" x14ac:dyDescent="0.25">
      <c r="B49" s="5">
        <f t="shared" ca="1" si="0"/>
        <v>45</v>
      </c>
      <c r="C49" s="6" t="s">
        <v>89</v>
      </c>
      <c r="D49" s="3" t="s">
        <v>61</v>
      </c>
      <c r="E49" s="7" t="s">
        <v>17</v>
      </c>
      <c r="F49" s="8">
        <v>2024</v>
      </c>
      <c r="G49" s="24">
        <v>0.24</v>
      </c>
      <c r="H49" s="26" t="str">
        <f t="shared" si="1"/>
        <v/>
      </c>
      <c r="J49" s="24">
        <v>0.24</v>
      </c>
    </row>
    <row r="50" spans="2:10" x14ac:dyDescent="0.25">
      <c r="B50" s="5">
        <f ca="1">IFERROR(OFFSET(B50,-1,0,1,1)+1,"")</f>
        <v>46</v>
      </c>
      <c r="C50" s="6" t="s">
        <v>73</v>
      </c>
      <c r="D50" s="3" t="s">
        <v>34</v>
      </c>
      <c r="E50" s="7" t="s">
        <v>17</v>
      </c>
      <c r="F50" s="8">
        <v>2023</v>
      </c>
      <c r="G50" s="24">
        <v>0.69</v>
      </c>
      <c r="H50" s="26" t="str">
        <f t="shared" si="1"/>
        <v/>
      </c>
      <c r="J50" s="24">
        <v>0.69</v>
      </c>
    </row>
    <row r="51" spans="2:10" x14ac:dyDescent="0.25">
      <c r="B51" s="5">
        <f ca="1">IFERROR(OFFSET(B51,-1,0,1,1)+1,"")</f>
        <v>47</v>
      </c>
      <c r="C51" s="6" t="s">
        <v>53</v>
      </c>
      <c r="D51" s="3" t="s">
        <v>54</v>
      </c>
      <c r="E51" s="7" t="s">
        <v>17</v>
      </c>
      <c r="F51" s="8">
        <v>2023</v>
      </c>
      <c r="G51" s="24">
        <v>0.06</v>
      </c>
      <c r="H51" s="26" t="str">
        <f t="shared" si="1"/>
        <v/>
      </c>
      <c r="J51" s="24">
        <v>0.06</v>
      </c>
    </row>
    <row r="52" spans="2:10" x14ac:dyDescent="0.25">
      <c r="B52" s="5">
        <f ca="1">IFERROR(OFFSET(B52,-1,0,1,1)+1,"")</f>
        <v>48</v>
      </c>
      <c r="C52" s="6" t="s">
        <v>63</v>
      </c>
      <c r="D52" s="3" t="s">
        <v>54</v>
      </c>
      <c r="E52" s="7" t="s">
        <v>17</v>
      </c>
      <c r="F52" s="8">
        <v>2023</v>
      </c>
      <c r="G52" s="24">
        <v>0.09</v>
      </c>
      <c r="H52" s="26" t="str">
        <f t="shared" si="1"/>
        <v/>
      </c>
      <c r="J52" s="24">
        <v>0.09</v>
      </c>
    </row>
    <row r="53" spans="2:10" x14ac:dyDescent="0.25">
      <c r="B53" s="5">
        <f ca="1">IFERROR(OFFSET(B53,-1,0,1,1)+1,"")</f>
        <v>49</v>
      </c>
      <c r="C53" s="6" t="s">
        <v>69</v>
      </c>
      <c r="D53" s="3" t="s">
        <v>70</v>
      </c>
      <c r="E53" s="7" t="s">
        <v>17</v>
      </c>
      <c r="F53" s="8">
        <v>2023</v>
      </c>
      <c r="G53" s="24">
        <v>0.05</v>
      </c>
      <c r="H53" s="26" t="str">
        <f t="shared" si="1"/>
        <v/>
      </c>
      <c r="J53" s="24">
        <v>0.05</v>
      </c>
    </row>
    <row r="54" spans="2:10" x14ac:dyDescent="0.25">
      <c r="B54" s="5">
        <f t="shared" ca="1" si="0"/>
        <v>50</v>
      </c>
      <c r="C54" s="6" t="s">
        <v>97</v>
      </c>
      <c r="D54" s="3" t="s">
        <v>70</v>
      </c>
      <c r="E54" s="7" t="s">
        <v>17</v>
      </c>
      <c r="F54" s="8">
        <v>2023</v>
      </c>
      <c r="G54" s="24">
        <v>0.09</v>
      </c>
      <c r="H54" s="26" t="str">
        <f t="shared" si="1"/>
        <v/>
      </c>
      <c r="J54" s="24">
        <v>0.09</v>
      </c>
    </row>
    <row r="55" spans="2:10" x14ac:dyDescent="0.25">
      <c r="B55" s="5">
        <f t="shared" ca="1" si="0"/>
        <v>51</v>
      </c>
      <c r="C55" s="6" t="s">
        <v>99</v>
      </c>
      <c r="D55" s="3" t="s">
        <v>70</v>
      </c>
      <c r="E55" s="7" t="s">
        <v>17</v>
      </c>
      <c r="F55" s="8">
        <v>2023</v>
      </c>
      <c r="G55" s="24">
        <v>0.27</v>
      </c>
      <c r="H55" s="26" t="str">
        <f t="shared" si="1"/>
        <v/>
      </c>
      <c r="J55" s="24">
        <v>0.27</v>
      </c>
    </row>
    <row r="56" spans="2:10" x14ac:dyDescent="0.25">
      <c r="B56" s="5">
        <f t="shared" ca="1" si="0"/>
        <v>52</v>
      </c>
      <c r="C56" s="6" t="s">
        <v>59</v>
      </c>
      <c r="D56" s="3" t="s">
        <v>13</v>
      </c>
      <c r="E56" s="27" t="s">
        <v>17</v>
      </c>
      <c r="F56" s="28">
        <v>2024</v>
      </c>
      <c r="G56" s="24">
        <v>0.38</v>
      </c>
      <c r="H56" s="26" t="str">
        <f t="shared" si="1"/>
        <v/>
      </c>
      <c r="J56" s="24">
        <v>0.38</v>
      </c>
    </row>
    <row r="57" spans="2:10" x14ac:dyDescent="0.25">
      <c r="B57" s="5">
        <f t="shared" ca="1" si="0"/>
        <v>53</v>
      </c>
      <c r="C57" s="6" t="s">
        <v>23</v>
      </c>
      <c r="D57" s="3" t="s">
        <v>13</v>
      </c>
      <c r="E57" s="7" t="s">
        <v>17</v>
      </c>
      <c r="F57" s="8">
        <v>2023</v>
      </c>
      <c r="G57" s="24">
        <v>0.55000000000000004</v>
      </c>
      <c r="H57" s="26" t="str">
        <f t="shared" si="1"/>
        <v/>
      </c>
      <c r="J57" s="24">
        <v>0.55000000000000004</v>
      </c>
    </row>
    <row r="58" spans="2:10" x14ac:dyDescent="0.25">
      <c r="B58" s="5">
        <f t="shared" ca="1" si="0"/>
        <v>54</v>
      </c>
      <c r="C58" s="6" t="s">
        <v>86</v>
      </c>
      <c r="D58" s="3" t="s">
        <v>13</v>
      </c>
      <c r="E58" s="7" t="s">
        <v>17</v>
      </c>
      <c r="F58" s="8">
        <v>2023</v>
      </c>
      <c r="G58" s="24">
        <v>0.04</v>
      </c>
      <c r="H58" s="26" t="str">
        <f t="shared" ref="H58:H80" si="2">IF(G58-J58=0,"",ROUND(G58-J58,2)*100&amp;"% Better")</f>
        <v/>
      </c>
      <c r="J58" s="24">
        <v>0.04</v>
      </c>
    </row>
    <row r="59" spans="2:10" x14ac:dyDescent="0.25">
      <c r="B59" s="5">
        <f t="shared" ca="1" si="0"/>
        <v>55</v>
      </c>
      <c r="C59" s="6" t="s">
        <v>87</v>
      </c>
      <c r="D59" s="3" t="s">
        <v>13</v>
      </c>
      <c r="E59" s="7" t="s">
        <v>17</v>
      </c>
      <c r="F59" s="8">
        <v>2024</v>
      </c>
      <c r="G59" s="24">
        <v>0.5</v>
      </c>
      <c r="H59" s="26" t="str">
        <f t="shared" si="2"/>
        <v/>
      </c>
      <c r="J59" s="24">
        <v>0.5</v>
      </c>
    </row>
    <row r="60" spans="2:10" x14ac:dyDescent="0.25">
      <c r="B60" s="5">
        <f t="shared" ca="1" si="0"/>
        <v>56</v>
      </c>
      <c r="C60" s="6" t="s">
        <v>88</v>
      </c>
      <c r="D60" s="3" t="s">
        <v>13</v>
      </c>
      <c r="E60" s="7" t="s">
        <v>17</v>
      </c>
      <c r="F60" s="8">
        <v>2024</v>
      </c>
      <c r="G60" s="24">
        <v>0</v>
      </c>
      <c r="H60" s="26" t="str">
        <f t="shared" si="2"/>
        <v/>
      </c>
      <c r="J60" s="24">
        <v>0</v>
      </c>
    </row>
    <row r="61" spans="2:10" x14ac:dyDescent="0.25">
      <c r="B61" s="5">
        <f t="shared" ca="1" si="0"/>
        <v>57</v>
      </c>
      <c r="C61" s="6" t="s">
        <v>27</v>
      </c>
      <c r="D61" s="3" t="s">
        <v>13</v>
      </c>
      <c r="E61" s="7" t="s">
        <v>17</v>
      </c>
      <c r="F61" s="8">
        <v>2023</v>
      </c>
      <c r="G61" s="24">
        <v>0.35</v>
      </c>
      <c r="H61" s="26" t="str">
        <f t="shared" si="2"/>
        <v/>
      </c>
      <c r="J61" s="24">
        <v>0.35</v>
      </c>
    </row>
    <row r="62" spans="2:10" x14ac:dyDescent="0.25">
      <c r="B62" s="5">
        <f t="shared" ca="1" si="0"/>
        <v>58</v>
      </c>
      <c r="C62" s="6" t="s">
        <v>90</v>
      </c>
      <c r="D62" s="3" t="s">
        <v>13</v>
      </c>
      <c r="E62" s="7" t="s">
        <v>17</v>
      </c>
      <c r="F62" s="8">
        <v>2023</v>
      </c>
      <c r="G62" s="24">
        <v>0.35</v>
      </c>
      <c r="H62" s="26" t="str">
        <f t="shared" si="2"/>
        <v/>
      </c>
      <c r="J62" s="24">
        <v>0.35</v>
      </c>
    </row>
    <row r="63" spans="2:10" x14ac:dyDescent="0.25">
      <c r="B63" s="5">
        <f t="shared" ca="1" si="0"/>
        <v>59</v>
      </c>
      <c r="C63" s="6" t="s">
        <v>16</v>
      </c>
      <c r="D63" s="3" t="s">
        <v>13</v>
      </c>
      <c r="E63" s="7" t="s">
        <v>17</v>
      </c>
      <c r="F63" s="8">
        <v>2023</v>
      </c>
      <c r="G63" s="24">
        <v>0.32</v>
      </c>
      <c r="H63" s="26" t="str">
        <f t="shared" si="2"/>
        <v/>
      </c>
      <c r="J63" s="24">
        <v>0.32</v>
      </c>
    </row>
    <row r="64" spans="2:10" x14ac:dyDescent="0.25">
      <c r="B64" s="5">
        <f t="shared" ca="1" si="0"/>
        <v>60</v>
      </c>
      <c r="C64" s="6" t="s">
        <v>20</v>
      </c>
      <c r="D64" s="3" t="s">
        <v>13</v>
      </c>
      <c r="E64" s="7" t="s">
        <v>17</v>
      </c>
      <c r="F64" s="8">
        <v>2023</v>
      </c>
      <c r="G64" s="24">
        <v>0.93</v>
      </c>
      <c r="H64" s="26" t="str">
        <f t="shared" si="2"/>
        <v/>
      </c>
      <c r="J64" s="24">
        <v>0.93</v>
      </c>
    </row>
    <row r="65" spans="2:10" x14ac:dyDescent="0.25">
      <c r="B65" s="5">
        <f t="shared" ca="1" si="0"/>
        <v>61</v>
      </c>
      <c r="C65" s="6" t="s">
        <v>21</v>
      </c>
      <c r="D65" s="3" t="s">
        <v>13</v>
      </c>
      <c r="E65" s="7" t="s">
        <v>17</v>
      </c>
      <c r="F65" s="8">
        <v>2023</v>
      </c>
      <c r="G65" s="24">
        <v>0.43</v>
      </c>
      <c r="H65" s="26" t="str">
        <f t="shared" si="2"/>
        <v/>
      </c>
      <c r="J65" s="24">
        <v>0.43</v>
      </c>
    </row>
    <row r="66" spans="2:10" x14ac:dyDescent="0.25">
      <c r="B66" s="5">
        <f t="shared" ca="1" si="0"/>
        <v>62</v>
      </c>
      <c r="C66" s="6" t="s">
        <v>26</v>
      </c>
      <c r="D66" s="3" t="s">
        <v>13</v>
      </c>
      <c r="E66" s="7" t="s">
        <v>17</v>
      </c>
      <c r="F66" s="8">
        <v>2023</v>
      </c>
      <c r="G66" s="24">
        <v>0.43</v>
      </c>
      <c r="H66" s="26" t="str">
        <f t="shared" si="2"/>
        <v/>
      </c>
      <c r="J66" s="24">
        <v>0.43</v>
      </c>
    </row>
    <row r="67" spans="2:10" x14ac:dyDescent="0.25">
      <c r="B67" s="5">
        <f t="shared" ca="1" si="0"/>
        <v>63</v>
      </c>
      <c r="C67" s="6" t="s">
        <v>27</v>
      </c>
      <c r="D67" s="3" t="s">
        <v>13</v>
      </c>
      <c r="E67" s="7" t="s">
        <v>17</v>
      </c>
      <c r="F67" s="8">
        <v>2023</v>
      </c>
      <c r="G67" s="24">
        <v>0.35</v>
      </c>
      <c r="H67" s="26" t="str">
        <f t="shared" si="2"/>
        <v/>
      </c>
      <c r="J67" s="24">
        <v>0.35</v>
      </c>
    </row>
    <row r="68" spans="2:10" x14ac:dyDescent="0.25">
      <c r="B68" s="5">
        <f t="shared" ca="1" si="0"/>
        <v>64</v>
      </c>
      <c r="C68" s="6" t="s">
        <v>144</v>
      </c>
      <c r="D68" s="3" t="s">
        <v>13</v>
      </c>
      <c r="E68" s="7" t="s">
        <v>17</v>
      </c>
      <c r="F68" s="8">
        <v>2024</v>
      </c>
      <c r="G68" s="24">
        <v>0</v>
      </c>
      <c r="H68" s="26" t="str">
        <f t="shared" si="2"/>
        <v/>
      </c>
      <c r="J68" s="24">
        <v>0</v>
      </c>
    </row>
    <row r="69" spans="2:10" x14ac:dyDescent="0.25">
      <c r="B69" s="5">
        <f ca="1">IFERROR(OFFSET(B69,-1,0,1,1)+1,"")</f>
        <v>65</v>
      </c>
      <c r="C69" s="6" t="s">
        <v>145</v>
      </c>
      <c r="D69" s="3" t="s">
        <v>13</v>
      </c>
      <c r="E69" s="7" t="s">
        <v>17</v>
      </c>
      <c r="F69" s="8">
        <v>2024</v>
      </c>
      <c r="G69" s="24">
        <v>0</v>
      </c>
      <c r="H69" s="26" t="str">
        <f t="shared" si="2"/>
        <v/>
      </c>
      <c r="J69" s="24">
        <v>0</v>
      </c>
    </row>
    <row r="70" spans="2:10" x14ac:dyDescent="0.25">
      <c r="B70" s="5">
        <f ca="1">IFERROR(OFFSET(B70,-1,0,1,1)+1,"")</f>
        <v>66</v>
      </c>
      <c r="C70" s="6" t="s">
        <v>146</v>
      </c>
      <c r="D70" s="3" t="s">
        <v>13</v>
      </c>
      <c r="E70" s="7" t="s">
        <v>17</v>
      </c>
      <c r="F70" s="8">
        <v>2024</v>
      </c>
      <c r="G70" s="24">
        <v>0</v>
      </c>
      <c r="H70" s="26" t="str">
        <f t="shared" si="2"/>
        <v/>
      </c>
      <c r="J70" s="24">
        <v>0</v>
      </c>
    </row>
    <row r="71" spans="2:10" x14ac:dyDescent="0.25">
      <c r="B71" s="5">
        <f t="shared" ca="1" si="0"/>
        <v>67</v>
      </c>
      <c r="C71" s="6" t="s">
        <v>22</v>
      </c>
      <c r="D71" s="3" t="s">
        <v>11</v>
      </c>
      <c r="E71" s="7" t="s">
        <v>17</v>
      </c>
      <c r="F71" s="8">
        <v>2023</v>
      </c>
      <c r="G71" s="24">
        <v>0.24</v>
      </c>
      <c r="H71" s="26" t="str">
        <f t="shared" si="2"/>
        <v/>
      </c>
      <c r="J71" s="24">
        <v>0.24</v>
      </c>
    </row>
    <row r="72" spans="2:10" x14ac:dyDescent="0.25">
      <c r="B72" s="5">
        <f t="shared" ca="1" si="0"/>
        <v>68</v>
      </c>
      <c r="C72" s="6" t="s">
        <v>30</v>
      </c>
      <c r="D72" s="3" t="s">
        <v>19</v>
      </c>
      <c r="E72" s="7" t="s">
        <v>17</v>
      </c>
      <c r="F72" s="8">
        <v>2023</v>
      </c>
      <c r="G72" s="24">
        <v>0.45</v>
      </c>
      <c r="H72" s="26" t="str">
        <f t="shared" si="2"/>
        <v/>
      </c>
      <c r="J72" s="24">
        <v>0.45</v>
      </c>
    </row>
    <row r="73" spans="2:10" x14ac:dyDescent="0.25">
      <c r="B73" s="5">
        <f t="shared" ca="1" si="0"/>
        <v>69</v>
      </c>
      <c r="C73" s="6" t="s">
        <v>78</v>
      </c>
      <c r="D73" s="3" t="s">
        <v>19</v>
      </c>
      <c r="E73" s="7" t="s">
        <v>17</v>
      </c>
      <c r="F73" s="8">
        <v>2023</v>
      </c>
      <c r="G73" s="24">
        <v>0.06</v>
      </c>
      <c r="H73" s="26" t="str">
        <f t="shared" si="2"/>
        <v/>
      </c>
      <c r="J73" s="24">
        <v>0.06</v>
      </c>
    </row>
    <row r="74" spans="2:10" x14ac:dyDescent="0.25">
      <c r="B74" s="5">
        <f t="shared" ca="1" si="0"/>
        <v>70</v>
      </c>
      <c r="C74" s="6" t="s">
        <v>91</v>
      </c>
      <c r="D74" s="3" t="s">
        <v>19</v>
      </c>
      <c r="E74" s="7" t="s">
        <v>17</v>
      </c>
      <c r="F74" s="8">
        <v>2024</v>
      </c>
      <c r="G74" s="24">
        <v>0.15</v>
      </c>
      <c r="H74" s="26" t="str">
        <f t="shared" si="2"/>
        <v/>
      </c>
      <c r="J74" s="24">
        <v>0.15</v>
      </c>
    </row>
    <row r="75" spans="2:10" x14ac:dyDescent="0.25">
      <c r="B75" s="5">
        <f t="shared" ca="1" si="0"/>
        <v>71</v>
      </c>
      <c r="C75" s="6" t="s">
        <v>92</v>
      </c>
      <c r="D75" s="3" t="s">
        <v>19</v>
      </c>
      <c r="E75" s="7" t="s">
        <v>17</v>
      </c>
      <c r="F75" s="8">
        <v>2024</v>
      </c>
      <c r="G75" s="24">
        <v>0.28999999999999998</v>
      </c>
      <c r="H75" s="26" t="str">
        <f t="shared" si="2"/>
        <v/>
      </c>
      <c r="J75" s="24">
        <v>0.28999999999999998</v>
      </c>
    </row>
    <row r="76" spans="2:10" x14ac:dyDescent="0.25">
      <c r="B76" s="5">
        <f t="shared" ca="1" si="0"/>
        <v>72</v>
      </c>
      <c r="C76" s="6" t="s">
        <v>25</v>
      </c>
      <c r="D76" s="3" t="s">
        <v>19</v>
      </c>
      <c r="E76" s="7" t="s">
        <v>17</v>
      </c>
      <c r="F76" s="8">
        <v>2023</v>
      </c>
      <c r="G76" s="24">
        <v>0.4</v>
      </c>
      <c r="H76" s="26" t="str">
        <f t="shared" si="2"/>
        <v/>
      </c>
      <c r="J76" s="24">
        <v>0.4</v>
      </c>
    </row>
    <row r="77" spans="2:10" x14ac:dyDescent="0.25">
      <c r="B77" s="5">
        <f ca="1">IFERROR(OFFSET(B77,-1,0,1,1)+1,"")</f>
        <v>73</v>
      </c>
      <c r="C77" s="6" t="s">
        <v>18</v>
      </c>
      <c r="D77" s="3" t="s">
        <v>19</v>
      </c>
      <c r="E77" s="7" t="s">
        <v>17</v>
      </c>
      <c r="F77" s="8">
        <v>2023</v>
      </c>
      <c r="G77" s="24">
        <v>0.31</v>
      </c>
      <c r="H77" s="26" t="str">
        <f t="shared" si="2"/>
        <v/>
      </c>
      <c r="J77" s="24">
        <v>0.31</v>
      </c>
    </row>
    <row r="78" spans="2:10" x14ac:dyDescent="0.25">
      <c r="B78" s="5">
        <f t="shared" ca="1" si="0"/>
        <v>74</v>
      </c>
      <c r="C78" s="6" t="s">
        <v>96</v>
      </c>
      <c r="D78" s="3" t="s">
        <v>19</v>
      </c>
      <c r="E78" s="7" t="s">
        <v>17</v>
      </c>
      <c r="F78" s="8">
        <v>2023</v>
      </c>
      <c r="G78" s="24">
        <v>0.45</v>
      </c>
      <c r="H78" s="26" t="str">
        <f t="shared" si="2"/>
        <v/>
      </c>
      <c r="J78" s="24">
        <v>0.45</v>
      </c>
    </row>
    <row r="79" spans="2:10" x14ac:dyDescent="0.25">
      <c r="B79" s="5">
        <f t="shared" ca="1" si="0"/>
        <v>75</v>
      </c>
      <c r="C79" s="6" t="s">
        <v>74</v>
      </c>
      <c r="D79" s="3" t="s">
        <v>75</v>
      </c>
      <c r="E79" s="7" t="s">
        <v>17</v>
      </c>
      <c r="F79" s="8">
        <v>2023</v>
      </c>
      <c r="G79" s="24">
        <v>0.35</v>
      </c>
      <c r="H79" s="26" t="str">
        <f t="shared" si="2"/>
        <v/>
      </c>
      <c r="J79" s="24">
        <v>0.35</v>
      </c>
    </row>
    <row r="80" spans="2:10" x14ac:dyDescent="0.25">
      <c r="B80" s="5">
        <f t="shared" ca="1" si="0"/>
        <v>76</v>
      </c>
      <c r="C80" s="6" t="s">
        <v>28</v>
      </c>
      <c r="D80" s="3" t="s">
        <v>29</v>
      </c>
      <c r="E80" s="7" t="s">
        <v>17</v>
      </c>
      <c r="F80" s="8">
        <v>2023</v>
      </c>
      <c r="G80" s="24">
        <v>0.38</v>
      </c>
      <c r="H80" s="26" t="str">
        <f t="shared" si="2"/>
        <v/>
      </c>
      <c r="J80" s="24">
        <v>0.38</v>
      </c>
    </row>
  </sheetData>
  <pageMargins left="0.7" right="0.7" top="0.75" bottom="0.75" header="0.3" footer="0.3"/>
  <pageSetup scale="76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D6B9D-C5F0-4332-9319-D6CA83C18678}">
  <sheetPr>
    <tabColor rgb="FFFFFF00"/>
  </sheetPr>
  <dimension ref="B2:I45"/>
  <sheetViews>
    <sheetView workbookViewId="0">
      <selection activeCell="F3" sqref="F3:G3"/>
    </sheetView>
  </sheetViews>
  <sheetFormatPr defaultRowHeight="13.2" x14ac:dyDescent="0.25"/>
  <cols>
    <col min="1" max="1" width="2.33203125" customWidth="1"/>
    <col min="3" max="3" width="83.21875" customWidth="1"/>
    <col min="4" max="4" width="19.6640625" customWidth="1"/>
    <col min="5" max="5" width="20.33203125" customWidth="1"/>
    <col min="6" max="6" width="15.109375" customWidth="1"/>
    <col min="7" max="7" width="22.109375" customWidth="1"/>
  </cols>
  <sheetData>
    <row r="2" spans="2:9" ht="16.8" x14ac:dyDescent="0.3">
      <c r="B2" s="9" t="s">
        <v>101</v>
      </c>
    </row>
    <row r="3" spans="2:9" x14ac:dyDescent="0.25">
      <c r="B3" s="10" t="s">
        <v>207</v>
      </c>
      <c r="C3" s="2"/>
      <c r="D3" s="11" t="s">
        <v>31</v>
      </c>
      <c r="E3" s="12" t="s">
        <v>133</v>
      </c>
      <c r="F3" s="11" t="s">
        <v>2</v>
      </c>
      <c r="G3" s="29" t="s">
        <v>205</v>
      </c>
    </row>
    <row r="4" spans="2:9" s="4" customFormat="1" x14ac:dyDescent="0.25"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  <c r="G4" s="14" t="s">
        <v>9</v>
      </c>
    </row>
    <row r="5" spans="2:9" x14ac:dyDescent="0.25">
      <c r="B5" s="16">
        <v>1</v>
      </c>
      <c r="C5" s="17" t="s">
        <v>108</v>
      </c>
      <c r="D5" s="18" t="s">
        <v>118</v>
      </c>
      <c r="E5" s="19" t="s">
        <v>126</v>
      </c>
      <c r="F5" s="20">
        <v>2023</v>
      </c>
      <c r="G5" s="23"/>
      <c r="I5" s="24"/>
    </row>
    <row r="6" spans="2:9" x14ac:dyDescent="0.25">
      <c r="B6" s="16">
        <v>2</v>
      </c>
      <c r="C6" s="17" t="s">
        <v>103</v>
      </c>
      <c r="D6" s="18" t="s">
        <v>116</v>
      </c>
      <c r="E6" s="19" t="s">
        <v>121</v>
      </c>
      <c r="F6" s="20">
        <v>2023</v>
      </c>
      <c r="G6" s="22"/>
    </row>
    <row r="7" spans="2:9" x14ac:dyDescent="0.25">
      <c r="B7" s="16">
        <f ca="1">IFERROR(OFFSET(B7,-1,0,1,1)+1,"")</f>
        <v>3</v>
      </c>
      <c r="C7" s="17" t="s">
        <v>105</v>
      </c>
      <c r="D7" s="18" t="s">
        <v>57</v>
      </c>
      <c r="E7" s="19" t="s">
        <v>123</v>
      </c>
      <c r="F7" s="34">
        <v>2024</v>
      </c>
      <c r="G7" s="23"/>
      <c r="I7" s="24"/>
    </row>
    <row r="8" spans="2:9" x14ac:dyDescent="0.25">
      <c r="B8" s="16">
        <f t="shared" ref="B8" ca="1" si="0">IFERROR(OFFSET(B8,-1,0,1,1)+1,"")</f>
        <v>4</v>
      </c>
      <c r="C8" s="17" t="s">
        <v>109</v>
      </c>
      <c r="D8" s="18" t="s">
        <v>116</v>
      </c>
      <c r="E8" s="19" t="s">
        <v>127</v>
      </c>
      <c r="F8" s="34">
        <v>2024</v>
      </c>
      <c r="G8" s="22"/>
    </row>
    <row r="9" spans="2:9" x14ac:dyDescent="0.25">
      <c r="B9" s="16">
        <f t="shared" ref="B9:B45" ca="1" si="1">IFERROR(OFFSET(B9,-1,0,1,1)+1,"")</f>
        <v>5</v>
      </c>
      <c r="C9" s="17" t="s">
        <v>104</v>
      </c>
      <c r="D9" s="18" t="s">
        <v>40</v>
      </c>
      <c r="E9" s="19" t="s">
        <v>122</v>
      </c>
      <c r="F9" s="34">
        <v>2024</v>
      </c>
      <c r="G9" s="23"/>
      <c r="I9" s="24"/>
    </row>
    <row r="10" spans="2:9" x14ac:dyDescent="0.25">
      <c r="B10" s="16">
        <f t="shared" ca="1" si="1"/>
        <v>6</v>
      </c>
      <c r="C10" s="17" t="s">
        <v>111</v>
      </c>
      <c r="D10" s="18" t="s">
        <v>40</v>
      </c>
      <c r="E10" s="19" t="s">
        <v>122</v>
      </c>
      <c r="F10" s="34">
        <v>2024</v>
      </c>
      <c r="G10" s="23"/>
      <c r="I10" s="24"/>
    </row>
    <row r="11" spans="2:9" x14ac:dyDescent="0.25">
      <c r="B11" s="16">
        <f t="shared" ca="1" si="1"/>
        <v>7</v>
      </c>
      <c r="C11" s="17" t="s">
        <v>107</v>
      </c>
      <c r="D11" s="18" t="s">
        <v>117</v>
      </c>
      <c r="E11" s="19" t="s">
        <v>125</v>
      </c>
      <c r="F11" s="34">
        <v>2024</v>
      </c>
      <c r="G11" s="23"/>
      <c r="I11" s="24"/>
    </row>
    <row r="12" spans="2:9" x14ac:dyDescent="0.25">
      <c r="B12" s="16">
        <f t="shared" ca="1" si="1"/>
        <v>8</v>
      </c>
      <c r="C12" s="17" t="s">
        <v>113</v>
      </c>
      <c r="D12" s="18" t="s">
        <v>40</v>
      </c>
      <c r="E12" s="19" t="s">
        <v>130</v>
      </c>
      <c r="F12" s="34">
        <v>2024</v>
      </c>
      <c r="G12" s="23"/>
      <c r="I12" s="24"/>
    </row>
    <row r="13" spans="2:9" x14ac:dyDescent="0.25">
      <c r="B13" s="16">
        <f t="shared" ca="1" si="1"/>
        <v>9</v>
      </c>
      <c r="C13" s="17" t="s">
        <v>112</v>
      </c>
      <c r="D13" s="18" t="s">
        <v>40</v>
      </c>
      <c r="E13" s="19" t="s">
        <v>129</v>
      </c>
      <c r="F13" s="34">
        <v>2024</v>
      </c>
      <c r="G13" s="23"/>
      <c r="I13" s="24"/>
    </row>
    <row r="14" spans="2:9" x14ac:dyDescent="0.25">
      <c r="B14" s="16">
        <f t="shared" ca="1" si="1"/>
        <v>10</v>
      </c>
      <c r="C14" s="17" t="s">
        <v>114</v>
      </c>
      <c r="D14" s="18" t="s">
        <v>119</v>
      </c>
      <c r="E14" s="19" t="s">
        <v>131</v>
      </c>
      <c r="F14" s="34">
        <v>2024</v>
      </c>
      <c r="G14" s="23"/>
      <c r="I14" s="24"/>
    </row>
    <row r="15" spans="2:9" x14ac:dyDescent="0.25">
      <c r="B15" s="16">
        <f t="shared" ca="1" si="1"/>
        <v>11</v>
      </c>
      <c r="C15" s="17" t="s">
        <v>110</v>
      </c>
      <c r="D15" s="18" t="s">
        <v>40</v>
      </c>
      <c r="E15" s="19" t="s">
        <v>128</v>
      </c>
      <c r="F15" s="34">
        <v>2024</v>
      </c>
      <c r="G15" s="22"/>
    </row>
    <row r="16" spans="2:9" x14ac:dyDescent="0.25">
      <c r="B16" s="16">
        <f t="shared" ca="1" si="1"/>
        <v>12</v>
      </c>
      <c r="C16" s="17" t="s">
        <v>102</v>
      </c>
      <c r="D16" s="18" t="s">
        <v>57</v>
      </c>
      <c r="E16" s="19" t="s">
        <v>120</v>
      </c>
      <c r="F16" s="34">
        <v>2024</v>
      </c>
      <c r="G16" s="22"/>
    </row>
    <row r="17" spans="2:9" x14ac:dyDescent="0.25">
      <c r="B17" s="16">
        <f t="shared" ca="1" si="1"/>
        <v>13</v>
      </c>
      <c r="C17" s="17" t="s">
        <v>106</v>
      </c>
      <c r="D17" s="18" t="s">
        <v>57</v>
      </c>
      <c r="E17" s="19" t="s">
        <v>124</v>
      </c>
      <c r="F17" s="34">
        <v>2024</v>
      </c>
      <c r="G17" s="23"/>
      <c r="I17" s="24"/>
    </row>
    <row r="18" spans="2:9" x14ac:dyDescent="0.25">
      <c r="B18" s="16">
        <f t="shared" ca="1" si="1"/>
        <v>14</v>
      </c>
      <c r="C18" s="17" t="s">
        <v>115</v>
      </c>
      <c r="D18" s="18" t="s">
        <v>57</v>
      </c>
      <c r="E18" s="19" t="s">
        <v>132</v>
      </c>
      <c r="F18" s="34">
        <v>2024</v>
      </c>
      <c r="G18" s="23"/>
      <c r="I18" s="24"/>
    </row>
    <row r="19" spans="2:9" x14ac:dyDescent="0.25">
      <c r="B19" s="16">
        <f t="shared" ca="1" si="1"/>
        <v>15</v>
      </c>
      <c r="C19" s="17" t="s">
        <v>134</v>
      </c>
      <c r="D19" s="18" t="s">
        <v>117</v>
      </c>
      <c r="E19" s="19" t="s">
        <v>135</v>
      </c>
      <c r="F19" s="34">
        <v>2024</v>
      </c>
      <c r="G19" s="23"/>
    </row>
    <row r="20" spans="2:9" x14ac:dyDescent="0.25">
      <c r="B20" s="16">
        <f t="shared" ca="1" si="1"/>
        <v>16</v>
      </c>
      <c r="C20" s="17" t="s">
        <v>137</v>
      </c>
      <c r="D20" s="18" t="s">
        <v>13</v>
      </c>
      <c r="E20" s="19" t="s">
        <v>138</v>
      </c>
      <c r="F20" s="34">
        <v>2024</v>
      </c>
      <c r="G20" s="23"/>
    </row>
    <row r="21" spans="2:9" x14ac:dyDescent="0.25">
      <c r="B21" s="16">
        <f t="shared" ca="1" si="1"/>
        <v>17</v>
      </c>
      <c r="C21" s="17" t="s">
        <v>139</v>
      </c>
      <c r="D21" s="18" t="s">
        <v>57</v>
      </c>
      <c r="E21" s="19" t="s">
        <v>140</v>
      </c>
      <c r="F21" s="34">
        <v>2024</v>
      </c>
      <c r="G21" s="23"/>
    </row>
    <row r="22" spans="2:9" x14ac:dyDescent="0.25">
      <c r="B22" s="16">
        <f t="shared" ca="1" si="1"/>
        <v>18</v>
      </c>
      <c r="C22" s="17" t="s">
        <v>141</v>
      </c>
      <c r="D22" s="18" t="s">
        <v>57</v>
      </c>
      <c r="E22" s="19" t="s">
        <v>136</v>
      </c>
      <c r="F22" s="34">
        <v>2024</v>
      </c>
      <c r="G22" s="23"/>
    </row>
    <row r="23" spans="2:9" x14ac:dyDescent="0.25">
      <c r="B23" s="16">
        <f t="shared" ca="1" si="1"/>
        <v>19</v>
      </c>
      <c r="C23" s="17" t="s">
        <v>147</v>
      </c>
      <c r="D23" s="32" t="s">
        <v>148</v>
      </c>
      <c r="E23" s="19" t="s">
        <v>149</v>
      </c>
      <c r="F23" s="34">
        <v>2024</v>
      </c>
      <c r="G23" s="23"/>
    </row>
    <row r="24" spans="2:9" x14ac:dyDescent="0.25">
      <c r="B24" s="16">
        <f t="shared" ca="1" si="1"/>
        <v>20</v>
      </c>
      <c r="C24" s="17" t="s">
        <v>150</v>
      </c>
      <c r="D24" s="18" t="s">
        <v>57</v>
      </c>
      <c r="E24" s="19" t="s">
        <v>149</v>
      </c>
      <c r="F24" s="34">
        <v>2024</v>
      </c>
      <c r="G24" s="23"/>
    </row>
    <row r="25" spans="2:9" x14ac:dyDescent="0.25">
      <c r="B25" s="16">
        <f t="shared" ca="1" si="1"/>
        <v>21</v>
      </c>
      <c r="C25" s="17" t="s">
        <v>154</v>
      </c>
      <c r="D25" s="18" t="s">
        <v>119</v>
      </c>
      <c r="E25" s="19" t="s">
        <v>155</v>
      </c>
      <c r="F25" s="34">
        <v>2024</v>
      </c>
      <c r="G25" s="23"/>
    </row>
    <row r="26" spans="2:9" x14ac:dyDescent="0.25">
      <c r="B26" s="16">
        <f t="shared" ca="1" si="1"/>
        <v>22</v>
      </c>
      <c r="C26" s="17" t="s">
        <v>156</v>
      </c>
      <c r="D26" s="18" t="s">
        <v>119</v>
      </c>
      <c r="E26" s="19" t="s">
        <v>157</v>
      </c>
      <c r="F26" s="34">
        <v>2024</v>
      </c>
      <c r="G26" s="23"/>
    </row>
    <row r="27" spans="2:9" x14ac:dyDescent="0.25">
      <c r="B27" s="16">
        <f t="shared" ca="1" si="1"/>
        <v>23</v>
      </c>
      <c r="C27" s="33" t="s">
        <v>158</v>
      </c>
      <c r="D27" s="32" t="s">
        <v>159</v>
      </c>
      <c r="E27" s="19" t="s">
        <v>160</v>
      </c>
      <c r="F27" s="34">
        <v>2024</v>
      </c>
      <c r="G27" s="23"/>
    </row>
    <row r="28" spans="2:9" x14ac:dyDescent="0.25">
      <c r="B28" s="16">
        <f t="shared" ca="1" si="1"/>
        <v>24</v>
      </c>
      <c r="C28" s="17" t="s">
        <v>161</v>
      </c>
      <c r="D28" s="18" t="s">
        <v>57</v>
      </c>
      <c r="E28" s="19" t="s">
        <v>162</v>
      </c>
      <c r="F28" s="34">
        <v>2024</v>
      </c>
      <c r="G28" s="23"/>
    </row>
    <row r="29" spans="2:9" x14ac:dyDescent="0.25">
      <c r="B29" s="16">
        <f t="shared" ca="1" si="1"/>
        <v>25</v>
      </c>
      <c r="C29" s="17" t="s">
        <v>164</v>
      </c>
      <c r="D29" s="18" t="s">
        <v>57</v>
      </c>
      <c r="E29" s="19" t="s">
        <v>165</v>
      </c>
      <c r="F29" s="34">
        <v>2024</v>
      </c>
      <c r="G29" s="23"/>
    </row>
    <row r="30" spans="2:9" x14ac:dyDescent="0.25">
      <c r="B30" s="16">
        <f t="shared" ca="1" si="1"/>
        <v>26</v>
      </c>
      <c r="C30" s="17" t="s">
        <v>166</v>
      </c>
      <c r="D30" s="18" t="s">
        <v>57</v>
      </c>
      <c r="E30" s="19" t="s">
        <v>165</v>
      </c>
      <c r="F30" s="34">
        <v>2024</v>
      </c>
      <c r="G30" s="23"/>
    </row>
    <row r="31" spans="2:9" x14ac:dyDescent="0.25">
      <c r="B31" s="16">
        <f t="shared" ca="1" si="1"/>
        <v>27</v>
      </c>
      <c r="C31" s="17" t="s">
        <v>167</v>
      </c>
      <c r="D31" s="18" t="s">
        <v>40</v>
      </c>
      <c r="E31" s="19" t="s">
        <v>168</v>
      </c>
      <c r="F31" s="20">
        <v>2025</v>
      </c>
      <c r="G31" s="23"/>
    </row>
    <row r="32" spans="2:9" x14ac:dyDescent="0.25">
      <c r="B32" s="16">
        <f t="shared" ca="1" si="1"/>
        <v>28</v>
      </c>
      <c r="C32" s="17" t="s">
        <v>170</v>
      </c>
      <c r="D32" s="18" t="s">
        <v>40</v>
      </c>
      <c r="E32" s="19" t="s">
        <v>169</v>
      </c>
      <c r="F32" s="20">
        <v>2025</v>
      </c>
      <c r="G32" s="23"/>
    </row>
    <row r="33" spans="2:7" x14ac:dyDescent="0.25">
      <c r="B33" s="16">
        <f t="shared" ca="1" si="1"/>
        <v>29</v>
      </c>
      <c r="C33" s="17" t="s">
        <v>171</v>
      </c>
      <c r="D33" s="18" t="s">
        <v>57</v>
      </c>
      <c r="E33" s="19" t="s">
        <v>168</v>
      </c>
      <c r="F33" s="20">
        <v>2025</v>
      </c>
      <c r="G33" s="23"/>
    </row>
    <row r="34" spans="2:7" x14ac:dyDescent="0.25">
      <c r="B34" s="16">
        <f t="shared" ca="1" si="1"/>
        <v>30</v>
      </c>
      <c r="C34" s="17" t="s">
        <v>172</v>
      </c>
      <c r="D34" s="18" t="s">
        <v>40</v>
      </c>
      <c r="E34" s="19" t="s">
        <v>168</v>
      </c>
      <c r="F34" s="20">
        <v>2025</v>
      </c>
      <c r="G34" s="23"/>
    </row>
    <row r="35" spans="2:7" x14ac:dyDescent="0.25">
      <c r="B35" s="16">
        <f t="shared" ca="1" si="1"/>
        <v>31</v>
      </c>
      <c r="C35" s="17" t="s">
        <v>176</v>
      </c>
      <c r="D35" s="18" t="s">
        <v>119</v>
      </c>
      <c r="E35" s="19" t="s">
        <v>177</v>
      </c>
      <c r="F35" s="20">
        <v>2025</v>
      </c>
      <c r="G35" s="23"/>
    </row>
    <row r="36" spans="2:7" x14ac:dyDescent="0.25">
      <c r="B36" s="16">
        <f t="shared" ca="1" si="1"/>
        <v>32</v>
      </c>
      <c r="C36" s="17" t="s">
        <v>178</v>
      </c>
      <c r="D36" s="18" t="s">
        <v>179</v>
      </c>
      <c r="E36" s="19" t="s">
        <v>180</v>
      </c>
      <c r="F36" s="20">
        <v>2025</v>
      </c>
      <c r="G36" s="23"/>
    </row>
    <row r="37" spans="2:7" x14ac:dyDescent="0.25">
      <c r="B37" s="16">
        <f t="shared" ca="1" si="1"/>
        <v>33</v>
      </c>
      <c r="C37" s="17" t="s">
        <v>185</v>
      </c>
      <c r="D37" s="18" t="s">
        <v>117</v>
      </c>
      <c r="E37" s="19" t="s">
        <v>187</v>
      </c>
      <c r="F37" s="20">
        <v>2025</v>
      </c>
      <c r="G37" s="23"/>
    </row>
    <row r="38" spans="2:7" x14ac:dyDescent="0.25">
      <c r="B38" s="16">
        <f t="shared" ca="1" si="1"/>
        <v>34</v>
      </c>
      <c r="C38" s="17" t="s">
        <v>186</v>
      </c>
      <c r="D38" s="32" t="s">
        <v>201</v>
      </c>
      <c r="E38" s="19" t="s">
        <v>188</v>
      </c>
      <c r="F38" s="20">
        <v>2025</v>
      </c>
      <c r="G38" s="23"/>
    </row>
    <row r="39" spans="2:7" x14ac:dyDescent="0.25">
      <c r="B39" s="16">
        <f t="shared" ca="1" si="1"/>
        <v>35</v>
      </c>
      <c r="C39" s="17" t="s">
        <v>189</v>
      </c>
      <c r="D39" s="18" t="s">
        <v>117</v>
      </c>
      <c r="E39" s="19" t="s">
        <v>195</v>
      </c>
      <c r="F39" s="20">
        <v>2025</v>
      </c>
      <c r="G39" s="23"/>
    </row>
    <row r="40" spans="2:7" x14ac:dyDescent="0.25">
      <c r="B40" s="16">
        <f t="shared" ca="1" si="1"/>
        <v>36</v>
      </c>
      <c r="C40" s="17" t="s">
        <v>190</v>
      </c>
      <c r="D40" s="18" t="s">
        <v>202</v>
      </c>
      <c r="E40" s="19" t="s">
        <v>196</v>
      </c>
      <c r="F40" s="20">
        <v>2025</v>
      </c>
      <c r="G40" s="23"/>
    </row>
    <row r="41" spans="2:7" x14ac:dyDescent="0.25">
      <c r="B41" s="16">
        <f t="shared" ca="1" si="1"/>
        <v>37</v>
      </c>
      <c r="C41" s="17" t="s">
        <v>191</v>
      </c>
      <c r="D41" s="18" t="s">
        <v>159</v>
      </c>
      <c r="E41" s="19" t="s">
        <v>197</v>
      </c>
      <c r="F41" s="20">
        <v>2025</v>
      </c>
      <c r="G41" s="23"/>
    </row>
    <row r="42" spans="2:7" x14ac:dyDescent="0.25">
      <c r="B42" s="16">
        <f t="shared" ca="1" si="1"/>
        <v>38</v>
      </c>
      <c r="C42" s="17" t="s">
        <v>192</v>
      </c>
      <c r="D42" s="18" t="s">
        <v>159</v>
      </c>
      <c r="E42" s="19" t="s">
        <v>198</v>
      </c>
      <c r="F42" s="20">
        <v>2025</v>
      </c>
      <c r="G42" s="23"/>
    </row>
    <row r="43" spans="2:7" x14ac:dyDescent="0.25">
      <c r="B43" s="16">
        <f t="shared" ca="1" si="1"/>
        <v>39</v>
      </c>
      <c r="C43" s="17" t="s">
        <v>193</v>
      </c>
      <c r="D43" s="18" t="s">
        <v>117</v>
      </c>
      <c r="E43" s="19" t="s">
        <v>199</v>
      </c>
      <c r="F43" s="20">
        <v>2025</v>
      </c>
      <c r="G43" s="23"/>
    </row>
    <row r="44" spans="2:7" x14ac:dyDescent="0.25">
      <c r="B44" s="16">
        <f t="shared" ca="1" si="1"/>
        <v>40</v>
      </c>
      <c r="C44" s="17" t="s">
        <v>194</v>
      </c>
      <c r="D44" s="18" t="s">
        <v>119</v>
      </c>
      <c r="E44" s="19" t="s">
        <v>200</v>
      </c>
      <c r="F44" s="20">
        <v>2025</v>
      </c>
      <c r="G44" s="23"/>
    </row>
    <row r="45" spans="2:7" x14ac:dyDescent="0.25">
      <c r="B45" s="16">
        <f t="shared" ca="1" si="1"/>
        <v>41</v>
      </c>
      <c r="C45" s="17" t="s">
        <v>206</v>
      </c>
      <c r="D45" s="18" t="s">
        <v>83</v>
      </c>
      <c r="E45" s="19" t="s">
        <v>200</v>
      </c>
      <c r="F45" s="20">
        <v>2025</v>
      </c>
      <c r="G45" s="23"/>
    </row>
  </sheetData>
  <autoFilter ref="B4:G34" xr:uid="{630D6B9D-C5F0-4332-9319-D6CA83C18678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DA94D-FCF0-47F8-A413-9C84EB98B3F5}">
  <dimension ref="B2:F223"/>
  <sheetViews>
    <sheetView tabSelected="1" topLeftCell="A42" workbookViewId="0">
      <selection activeCell="C55" sqref="C55"/>
    </sheetView>
  </sheetViews>
  <sheetFormatPr defaultRowHeight="13.2" x14ac:dyDescent="0.25"/>
  <cols>
    <col min="1" max="1" width="4.44140625" customWidth="1"/>
    <col min="3" max="3" width="32.77734375" customWidth="1"/>
    <col min="4" max="4" width="12.109375" bestFit="1" customWidth="1"/>
    <col min="5" max="5" width="19.109375" bestFit="1" customWidth="1"/>
    <col min="6" max="6" width="17.33203125" bestFit="1" customWidth="1"/>
  </cols>
  <sheetData>
    <row r="2" spans="2:6" x14ac:dyDescent="0.25">
      <c r="B2" s="11" t="s">
        <v>2</v>
      </c>
      <c r="C2" s="29" t="s">
        <v>205</v>
      </c>
    </row>
    <row r="5" spans="2:6" x14ac:dyDescent="0.25">
      <c r="C5" s="36" t="s">
        <v>208</v>
      </c>
      <c r="D5" s="36" t="s">
        <v>209</v>
      </c>
      <c r="E5" s="36" t="s">
        <v>210</v>
      </c>
      <c r="F5" s="36" t="s">
        <v>211</v>
      </c>
    </row>
    <row r="6" spans="2:6" x14ac:dyDescent="0.25">
      <c r="C6" s="37" t="s">
        <v>212</v>
      </c>
      <c r="D6" s="38">
        <v>44614</v>
      </c>
      <c r="E6" s="37">
        <v>59</v>
      </c>
      <c r="F6" s="37" t="s">
        <v>213</v>
      </c>
    </row>
    <row r="7" spans="2:6" x14ac:dyDescent="0.25">
      <c r="C7" s="37" t="s">
        <v>212</v>
      </c>
      <c r="D7" s="38">
        <v>44642</v>
      </c>
      <c r="E7" s="37">
        <v>59</v>
      </c>
      <c r="F7" s="37" t="s">
        <v>213</v>
      </c>
    </row>
    <row r="8" spans="2:6" x14ac:dyDescent="0.25">
      <c r="C8" s="37" t="s">
        <v>212</v>
      </c>
      <c r="D8" s="38">
        <v>44673</v>
      </c>
      <c r="E8" s="37">
        <v>59</v>
      </c>
      <c r="F8" s="37" t="s">
        <v>213</v>
      </c>
    </row>
    <row r="9" spans="2:6" x14ac:dyDescent="0.25">
      <c r="C9" s="37" t="s">
        <v>212</v>
      </c>
      <c r="D9" s="38">
        <v>44703</v>
      </c>
      <c r="E9" s="37">
        <v>59</v>
      </c>
      <c r="F9" s="37" t="s">
        <v>213</v>
      </c>
    </row>
    <row r="10" spans="2:6" x14ac:dyDescent="0.25">
      <c r="C10" s="37" t="s">
        <v>212</v>
      </c>
      <c r="D10" s="38">
        <v>45413</v>
      </c>
      <c r="E10" s="37">
        <v>59</v>
      </c>
      <c r="F10" s="37" t="s">
        <v>213</v>
      </c>
    </row>
    <row r="11" spans="2:6" x14ac:dyDescent="0.25">
      <c r="C11" s="37" t="s">
        <v>212</v>
      </c>
      <c r="D11" s="38">
        <v>45444</v>
      </c>
      <c r="E11" s="37">
        <v>59</v>
      </c>
      <c r="F11" s="37" t="s">
        <v>213</v>
      </c>
    </row>
    <row r="12" spans="2:6" x14ac:dyDescent="0.25">
      <c r="C12" s="37" t="s">
        <v>212</v>
      </c>
      <c r="D12" s="38">
        <v>45474</v>
      </c>
      <c r="E12" s="37">
        <v>59</v>
      </c>
      <c r="F12" s="37" t="s">
        <v>213</v>
      </c>
    </row>
    <row r="13" spans="2:6" x14ac:dyDescent="0.25">
      <c r="C13" s="37" t="s">
        <v>212</v>
      </c>
      <c r="D13" s="38">
        <v>45505</v>
      </c>
      <c r="E13" s="37">
        <v>59</v>
      </c>
      <c r="F13" s="37" t="s">
        <v>213</v>
      </c>
    </row>
    <row r="14" spans="2:6" x14ac:dyDescent="0.25">
      <c r="C14" s="37" t="s">
        <v>212</v>
      </c>
      <c r="D14" s="38">
        <v>45536</v>
      </c>
      <c r="E14" s="37">
        <v>59</v>
      </c>
      <c r="F14" s="37" t="s">
        <v>213</v>
      </c>
    </row>
    <row r="15" spans="2:6" x14ac:dyDescent="0.25">
      <c r="C15" s="37" t="s">
        <v>212</v>
      </c>
      <c r="D15" s="38">
        <v>45566</v>
      </c>
      <c r="E15" s="37">
        <v>59</v>
      </c>
      <c r="F15" s="37" t="s">
        <v>213</v>
      </c>
    </row>
    <row r="16" spans="2:6" x14ac:dyDescent="0.25">
      <c r="C16" s="37" t="s">
        <v>212</v>
      </c>
      <c r="D16" s="38">
        <v>45597</v>
      </c>
      <c r="E16" s="37">
        <v>59</v>
      </c>
      <c r="F16" s="37" t="s">
        <v>213</v>
      </c>
    </row>
    <row r="17" spans="3:6" x14ac:dyDescent="0.25">
      <c r="C17" s="37" t="s">
        <v>212</v>
      </c>
      <c r="D17" s="38">
        <v>45627</v>
      </c>
      <c r="E17" s="37">
        <v>59</v>
      </c>
      <c r="F17" s="37" t="s">
        <v>213</v>
      </c>
    </row>
    <row r="18" spans="3:6" x14ac:dyDescent="0.25">
      <c r="C18" s="37" t="s">
        <v>212</v>
      </c>
      <c r="D18" s="38">
        <v>45658</v>
      </c>
      <c r="E18" s="37">
        <v>59</v>
      </c>
      <c r="F18" s="37" t="s">
        <v>213</v>
      </c>
    </row>
    <row r="19" spans="3:6" x14ac:dyDescent="0.25">
      <c r="C19" s="37" t="s">
        <v>212</v>
      </c>
      <c r="D19" s="38">
        <v>45689</v>
      </c>
      <c r="E19" s="37">
        <v>59</v>
      </c>
      <c r="F19" s="37" t="s">
        <v>213</v>
      </c>
    </row>
    <row r="20" spans="3:6" x14ac:dyDescent="0.25">
      <c r="C20" s="37" t="s">
        <v>212</v>
      </c>
      <c r="D20" s="38">
        <v>45717</v>
      </c>
      <c r="E20" s="37">
        <v>59</v>
      </c>
      <c r="F20" s="37" t="s">
        <v>213</v>
      </c>
    </row>
    <row r="21" spans="3:6" x14ac:dyDescent="0.25">
      <c r="C21" s="37" t="s">
        <v>212</v>
      </c>
      <c r="D21" s="38">
        <v>45748</v>
      </c>
      <c r="E21" s="37">
        <v>59</v>
      </c>
      <c r="F21" s="37" t="s">
        <v>213</v>
      </c>
    </row>
    <row r="22" spans="3:6" x14ac:dyDescent="0.25">
      <c r="C22" s="37" t="s">
        <v>212</v>
      </c>
      <c r="D22" s="38">
        <v>45778</v>
      </c>
      <c r="E22" s="37">
        <v>59</v>
      </c>
      <c r="F22" s="37" t="s">
        <v>213</v>
      </c>
    </row>
    <row r="23" spans="3:6" x14ac:dyDescent="0.25">
      <c r="C23" s="37" t="s">
        <v>212</v>
      </c>
      <c r="D23" s="38">
        <v>45809</v>
      </c>
      <c r="E23" s="37">
        <v>59</v>
      </c>
      <c r="F23" s="37" t="s">
        <v>213</v>
      </c>
    </row>
    <row r="24" spans="3:6" x14ac:dyDescent="0.25">
      <c r="C24" s="37" t="s">
        <v>212</v>
      </c>
      <c r="D24" s="38">
        <v>45839</v>
      </c>
      <c r="E24" s="37">
        <v>59</v>
      </c>
      <c r="F24" s="37" t="s">
        <v>213</v>
      </c>
    </row>
    <row r="25" spans="3:6" x14ac:dyDescent="0.25">
      <c r="C25" s="37" t="s">
        <v>212</v>
      </c>
      <c r="D25" s="38">
        <v>45870</v>
      </c>
      <c r="E25" s="37">
        <v>59</v>
      </c>
      <c r="F25" s="37" t="s">
        <v>213</v>
      </c>
    </row>
    <row r="26" spans="3:6" x14ac:dyDescent="0.25">
      <c r="C26" s="37" t="s">
        <v>212</v>
      </c>
      <c r="D26" s="38">
        <v>45901</v>
      </c>
      <c r="E26" s="37">
        <v>59</v>
      </c>
      <c r="F26" s="37" t="s">
        <v>213</v>
      </c>
    </row>
    <row r="27" spans="3:6" x14ac:dyDescent="0.25">
      <c r="C27" s="37" t="s">
        <v>212</v>
      </c>
      <c r="D27" s="38">
        <v>45931</v>
      </c>
      <c r="E27" s="37">
        <v>59</v>
      </c>
      <c r="F27" s="37" t="s">
        <v>213</v>
      </c>
    </row>
    <row r="28" spans="3:6" x14ac:dyDescent="0.25">
      <c r="C28" s="37" t="s">
        <v>212</v>
      </c>
      <c r="D28" s="38">
        <v>45962</v>
      </c>
      <c r="E28" s="37">
        <v>29.5</v>
      </c>
      <c r="F28" s="37" t="s">
        <v>213</v>
      </c>
    </row>
    <row r="29" spans="3:6" x14ac:dyDescent="0.25">
      <c r="C29" s="37" t="s">
        <v>212</v>
      </c>
      <c r="D29" s="38">
        <v>45992</v>
      </c>
      <c r="E29" s="37">
        <v>59</v>
      </c>
      <c r="F29" s="37" t="s">
        <v>213</v>
      </c>
    </row>
    <row r="30" spans="3:6" x14ac:dyDescent="0.25">
      <c r="C30" s="37" t="s">
        <v>212</v>
      </c>
      <c r="D30" s="38">
        <v>44734</v>
      </c>
      <c r="E30" s="37">
        <v>59</v>
      </c>
      <c r="F30" s="37" t="s">
        <v>213</v>
      </c>
    </row>
    <row r="31" spans="3:6" x14ac:dyDescent="0.25">
      <c r="C31" s="37" t="s">
        <v>212</v>
      </c>
      <c r="D31" s="38">
        <v>44764</v>
      </c>
      <c r="E31" s="37">
        <v>58.98</v>
      </c>
      <c r="F31" s="37" t="s">
        <v>213</v>
      </c>
    </row>
    <row r="32" spans="3:6" x14ac:dyDescent="0.25">
      <c r="C32" s="37" t="s">
        <v>212</v>
      </c>
      <c r="D32" s="38">
        <v>44795</v>
      </c>
      <c r="E32" s="37">
        <v>59</v>
      </c>
      <c r="F32" s="37" t="s">
        <v>213</v>
      </c>
    </row>
    <row r="33" spans="3:6" x14ac:dyDescent="0.25">
      <c r="C33" s="37" t="s">
        <v>212</v>
      </c>
      <c r="D33" s="38">
        <v>44826</v>
      </c>
      <c r="E33" s="37">
        <v>59</v>
      </c>
      <c r="F33" s="37" t="s">
        <v>213</v>
      </c>
    </row>
    <row r="34" spans="3:6" x14ac:dyDescent="0.25">
      <c r="C34" s="37" t="s">
        <v>212</v>
      </c>
      <c r="D34" s="38">
        <v>44856</v>
      </c>
      <c r="E34" s="37">
        <v>59</v>
      </c>
      <c r="F34" s="37" t="s">
        <v>213</v>
      </c>
    </row>
    <row r="35" spans="3:6" x14ac:dyDescent="0.25">
      <c r="C35" s="37" t="s">
        <v>212</v>
      </c>
      <c r="D35" s="38">
        <v>44887</v>
      </c>
      <c r="E35" s="37">
        <v>59</v>
      </c>
      <c r="F35" s="37" t="s">
        <v>213</v>
      </c>
    </row>
    <row r="36" spans="3:6" x14ac:dyDescent="0.25">
      <c r="C36" s="37" t="s">
        <v>212</v>
      </c>
      <c r="D36" s="38">
        <v>44917</v>
      </c>
      <c r="E36" s="37">
        <v>59</v>
      </c>
      <c r="F36" s="37" t="s">
        <v>213</v>
      </c>
    </row>
    <row r="37" spans="3:6" x14ac:dyDescent="0.25">
      <c r="C37" s="37" t="s">
        <v>212</v>
      </c>
      <c r="D37" s="38">
        <v>44948</v>
      </c>
      <c r="E37" s="37">
        <v>59</v>
      </c>
      <c r="F37" s="37" t="s">
        <v>213</v>
      </c>
    </row>
    <row r="38" spans="3:6" x14ac:dyDescent="0.25">
      <c r="C38" s="37" t="s">
        <v>212</v>
      </c>
      <c r="D38" s="38">
        <v>44979</v>
      </c>
      <c r="E38" s="37">
        <v>59</v>
      </c>
      <c r="F38" s="37" t="s">
        <v>213</v>
      </c>
    </row>
    <row r="39" spans="3:6" x14ac:dyDescent="0.25">
      <c r="C39" s="37" t="s">
        <v>212</v>
      </c>
      <c r="D39" s="38">
        <v>45017</v>
      </c>
      <c r="E39" s="37">
        <v>59</v>
      </c>
      <c r="F39" s="37" t="s">
        <v>213</v>
      </c>
    </row>
    <row r="40" spans="3:6" x14ac:dyDescent="0.25">
      <c r="C40" s="37" t="s">
        <v>212</v>
      </c>
      <c r="D40" s="38">
        <v>45047</v>
      </c>
      <c r="E40" s="37">
        <v>59</v>
      </c>
      <c r="F40" s="37" t="s">
        <v>213</v>
      </c>
    </row>
    <row r="41" spans="3:6" x14ac:dyDescent="0.25">
      <c r="C41" s="37" t="s">
        <v>212</v>
      </c>
      <c r="D41" s="38">
        <v>45078</v>
      </c>
      <c r="E41" s="37">
        <v>59</v>
      </c>
      <c r="F41" s="37" t="s">
        <v>213</v>
      </c>
    </row>
    <row r="42" spans="3:6" x14ac:dyDescent="0.25">
      <c r="C42" s="37" t="s">
        <v>212</v>
      </c>
      <c r="D42" s="38">
        <v>45108</v>
      </c>
      <c r="E42" s="37">
        <v>59</v>
      </c>
      <c r="F42" s="37" t="s">
        <v>213</v>
      </c>
    </row>
    <row r="43" spans="3:6" x14ac:dyDescent="0.25">
      <c r="C43" s="37" t="s">
        <v>212</v>
      </c>
      <c r="D43" s="38">
        <v>45139</v>
      </c>
      <c r="E43" s="37">
        <v>59</v>
      </c>
      <c r="F43" s="37" t="s">
        <v>213</v>
      </c>
    </row>
    <row r="44" spans="3:6" x14ac:dyDescent="0.25">
      <c r="C44" s="37" t="s">
        <v>212</v>
      </c>
      <c r="D44" s="38">
        <v>45170</v>
      </c>
      <c r="E44" s="37">
        <v>59</v>
      </c>
      <c r="F44" s="37" t="s">
        <v>213</v>
      </c>
    </row>
    <row r="45" spans="3:6" x14ac:dyDescent="0.25">
      <c r="C45" s="37" t="s">
        <v>212</v>
      </c>
      <c r="D45" s="38">
        <v>45200</v>
      </c>
      <c r="E45" s="37">
        <v>59</v>
      </c>
      <c r="F45" s="37" t="s">
        <v>213</v>
      </c>
    </row>
    <row r="46" spans="3:6" x14ac:dyDescent="0.25">
      <c r="C46" s="37" t="s">
        <v>212</v>
      </c>
      <c r="D46" s="38">
        <v>45231</v>
      </c>
      <c r="E46" s="37">
        <v>59</v>
      </c>
      <c r="F46" s="37" t="s">
        <v>213</v>
      </c>
    </row>
    <row r="47" spans="3:6" x14ac:dyDescent="0.25">
      <c r="C47" s="37" t="s">
        <v>212</v>
      </c>
      <c r="D47" s="38">
        <v>45261</v>
      </c>
      <c r="E47" s="37">
        <v>59</v>
      </c>
      <c r="F47" s="37" t="s">
        <v>213</v>
      </c>
    </row>
    <row r="48" spans="3:6" x14ac:dyDescent="0.25">
      <c r="C48" s="37" t="s">
        <v>212</v>
      </c>
      <c r="D48" s="38">
        <v>45292</v>
      </c>
      <c r="E48" s="37">
        <v>59</v>
      </c>
      <c r="F48" s="37" t="s">
        <v>213</v>
      </c>
    </row>
    <row r="49" spans="3:6" x14ac:dyDescent="0.25">
      <c r="C49" s="37" t="s">
        <v>212</v>
      </c>
      <c r="D49" s="38">
        <v>45323</v>
      </c>
      <c r="E49" s="37">
        <v>59</v>
      </c>
      <c r="F49" s="37" t="s">
        <v>213</v>
      </c>
    </row>
    <row r="50" spans="3:6" x14ac:dyDescent="0.25">
      <c r="C50" s="37" t="s">
        <v>212</v>
      </c>
      <c r="D50" s="38">
        <v>45352</v>
      </c>
      <c r="E50" s="37">
        <v>59</v>
      </c>
      <c r="F50" s="37" t="s">
        <v>213</v>
      </c>
    </row>
    <row r="51" spans="3:6" x14ac:dyDescent="0.25">
      <c r="C51" s="37" t="s">
        <v>212</v>
      </c>
      <c r="D51" s="38">
        <v>45383</v>
      </c>
      <c r="E51" s="37">
        <v>59</v>
      </c>
      <c r="F51" s="37" t="s">
        <v>213</v>
      </c>
    </row>
    <row r="53" spans="3:6" x14ac:dyDescent="0.25">
      <c r="C53" s="39" t="s">
        <v>214</v>
      </c>
    </row>
    <row r="54" spans="3:6" x14ac:dyDescent="0.25">
      <c r="C54" s="36" t="s">
        <v>4</v>
      </c>
      <c r="D54" s="36" t="s">
        <v>215</v>
      </c>
      <c r="E54" s="36" t="s">
        <v>216</v>
      </c>
      <c r="F54" s="36" t="s">
        <v>217</v>
      </c>
    </row>
    <row r="55" spans="3:6" x14ac:dyDescent="0.25">
      <c r="C55" s="37" t="s">
        <v>218</v>
      </c>
      <c r="D55" s="38">
        <v>45194</v>
      </c>
      <c r="E55" s="37" t="s">
        <v>213</v>
      </c>
      <c r="F55" s="40">
        <v>1</v>
      </c>
    </row>
    <row r="56" spans="3:6" x14ac:dyDescent="0.25">
      <c r="C56" s="37" t="s">
        <v>23</v>
      </c>
      <c r="D56" s="38">
        <v>44639</v>
      </c>
      <c r="E56" s="37" t="s">
        <v>213</v>
      </c>
      <c r="F56" s="40">
        <v>0.30740000000000001</v>
      </c>
    </row>
    <row r="57" spans="3:6" x14ac:dyDescent="0.25">
      <c r="C57" s="37" t="s">
        <v>219</v>
      </c>
      <c r="D57" s="38">
        <v>45935</v>
      </c>
      <c r="E57" s="37" t="s">
        <v>213</v>
      </c>
      <c r="F57" s="40">
        <v>0</v>
      </c>
    </row>
    <row r="58" spans="3:6" x14ac:dyDescent="0.25">
      <c r="C58" s="37" t="s">
        <v>220</v>
      </c>
      <c r="D58" s="38">
        <v>45944</v>
      </c>
      <c r="E58" s="37" t="s">
        <v>213</v>
      </c>
      <c r="F58" s="40">
        <v>0.12189999999999999</v>
      </c>
    </row>
    <row r="59" spans="3:6" ht="20.399999999999999" x14ac:dyDescent="0.25">
      <c r="C59" s="37" t="s">
        <v>221</v>
      </c>
      <c r="D59" s="38">
        <v>42549</v>
      </c>
      <c r="E59" s="37" t="s">
        <v>213</v>
      </c>
      <c r="F59" s="40">
        <v>0</v>
      </c>
    </row>
    <row r="60" spans="3:6" x14ac:dyDescent="0.25">
      <c r="C60" s="37" t="s">
        <v>222</v>
      </c>
      <c r="D60" s="38">
        <v>45865</v>
      </c>
      <c r="E60" s="37" t="s">
        <v>213</v>
      </c>
      <c r="F60" s="40">
        <v>0</v>
      </c>
    </row>
    <row r="61" spans="3:6" x14ac:dyDescent="0.25">
      <c r="C61" s="37" t="s">
        <v>91</v>
      </c>
      <c r="D61" s="38">
        <v>45294</v>
      </c>
      <c r="E61" s="37" t="s">
        <v>213</v>
      </c>
      <c r="F61" s="40">
        <v>0.03</v>
      </c>
    </row>
    <row r="62" spans="3:6" x14ac:dyDescent="0.25">
      <c r="C62" s="37" t="s">
        <v>223</v>
      </c>
      <c r="D62" s="38">
        <v>45787</v>
      </c>
      <c r="E62" s="37" t="s">
        <v>213</v>
      </c>
      <c r="F62" s="40">
        <v>0</v>
      </c>
    </row>
    <row r="63" spans="3:6" ht="20.399999999999999" x14ac:dyDescent="0.25">
      <c r="C63" s="37" t="s">
        <v>224</v>
      </c>
      <c r="D63" s="38">
        <v>45575</v>
      </c>
      <c r="E63" s="37" t="s">
        <v>213</v>
      </c>
      <c r="F63" s="40">
        <v>0.3</v>
      </c>
    </row>
    <row r="64" spans="3:6" ht="20.399999999999999" x14ac:dyDescent="0.25">
      <c r="C64" s="37" t="s">
        <v>225</v>
      </c>
      <c r="D64" s="38">
        <v>45696</v>
      </c>
      <c r="E64" s="37" t="s">
        <v>213</v>
      </c>
      <c r="F64" s="40">
        <v>0</v>
      </c>
    </row>
    <row r="65" spans="3:6" x14ac:dyDescent="0.25">
      <c r="C65" s="37" t="s">
        <v>226</v>
      </c>
      <c r="D65" s="38">
        <v>45612</v>
      </c>
      <c r="E65" s="37" t="s">
        <v>213</v>
      </c>
      <c r="F65" s="40">
        <v>4.4000000000000004E-2</v>
      </c>
    </row>
    <row r="66" spans="3:6" x14ac:dyDescent="0.25">
      <c r="C66" s="37" t="s">
        <v>227</v>
      </c>
      <c r="D66" s="38">
        <v>45856</v>
      </c>
      <c r="E66" s="37" t="s">
        <v>213</v>
      </c>
      <c r="F66" s="40">
        <v>0</v>
      </c>
    </row>
    <row r="67" spans="3:6" x14ac:dyDescent="0.25">
      <c r="C67" s="37" t="s">
        <v>35</v>
      </c>
      <c r="D67" s="38">
        <v>43793</v>
      </c>
      <c r="E67" s="37" t="s">
        <v>213</v>
      </c>
      <c r="F67" s="40">
        <v>0.9</v>
      </c>
    </row>
    <row r="68" spans="3:6" ht="20.399999999999999" x14ac:dyDescent="0.25">
      <c r="C68" s="37" t="s">
        <v>71</v>
      </c>
      <c r="D68" s="38">
        <v>45191</v>
      </c>
      <c r="E68" s="37" t="s">
        <v>213</v>
      </c>
      <c r="F68" s="40">
        <v>0</v>
      </c>
    </row>
    <row r="69" spans="3:6" ht="20.399999999999999" x14ac:dyDescent="0.25">
      <c r="C69" s="37" t="s">
        <v>59</v>
      </c>
      <c r="D69" s="38">
        <v>45191</v>
      </c>
      <c r="E69" s="37" t="s">
        <v>213</v>
      </c>
      <c r="F69" s="40">
        <v>0.2833</v>
      </c>
    </row>
    <row r="70" spans="3:6" ht="20.399999999999999" x14ac:dyDescent="0.25">
      <c r="C70" s="37" t="s">
        <v>228</v>
      </c>
      <c r="D70" s="38">
        <v>41730</v>
      </c>
      <c r="E70" s="37" t="s">
        <v>213</v>
      </c>
      <c r="F70" s="40">
        <v>1.04E-2</v>
      </c>
    </row>
    <row r="71" spans="3:6" ht="20.399999999999999" x14ac:dyDescent="0.25">
      <c r="C71" s="37" t="s">
        <v>229</v>
      </c>
      <c r="D71" s="38">
        <v>45695</v>
      </c>
      <c r="E71" s="37" t="s">
        <v>213</v>
      </c>
      <c r="F71" s="40">
        <v>0</v>
      </c>
    </row>
    <row r="72" spans="3:6" x14ac:dyDescent="0.25">
      <c r="C72" s="37" t="s">
        <v>230</v>
      </c>
      <c r="D72" s="38">
        <v>45469</v>
      </c>
      <c r="E72" s="37" t="s">
        <v>213</v>
      </c>
      <c r="F72" s="40">
        <v>1</v>
      </c>
    </row>
    <row r="73" spans="3:6" x14ac:dyDescent="0.25">
      <c r="C73" s="37" t="s">
        <v>231</v>
      </c>
      <c r="D73" s="38">
        <v>41650</v>
      </c>
      <c r="E73" s="37" t="s">
        <v>213</v>
      </c>
      <c r="F73" s="40">
        <v>0</v>
      </c>
    </row>
    <row r="74" spans="3:6" ht="20.399999999999999" x14ac:dyDescent="0.25">
      <c r="C74" s="37" t="s">
        <v>232</v>
      </c>
      <c r="D74" s="38">
        <v>45623</v>
      </c>
      <c r="E74" s="37" t="s">
        <v>213</v>
      </c>
      <c r="F74" s="40">
        <v>0</v>
      </c>
    </row>
    <row r="75" spans="3:6" x14ac:dyDescent="0.25">
      <c r="C75" s="37" t="s">
        <v>233</v>
      </c>
      <c r="D75" s="38">
        <v>45711</v>
      </c>
      <c r="E75" s="37" t="s">
        <v>213</v>
      </c>
      <c r="F75" s="40">
        <v>0</v>
      </c>
    </row>
    <row r="76" spans="3:6" x14ac:dyDescent="0.25">
      <c r="C76" s="37" t="s">
        <v>234</v>
      </c>
      <c r="D76" s="38">
        <v>44030</v>
      </c>
      <c r="E76" s="37" t="s">
        <v>213</v>
      </c>
      <c r="F76" s="40">
        <v>0</v>
      </c>
    </row>
    <row r="77" spans="3:6" x14ac:dyDescent="0.25">
      <c r="C77" s="37" t="s">
        <v>146</v>
      </c>
      <c r="D77" s="38">
        <v>45220</v>
      </c>
      <c r="E77" s="37" t="s">
        <v>213</v>
      </c>
      <c r="F77" s="40">
        <v>0</v>
      </c>
    </row>
    <row r="78" spans="3:6" x14ac:dyDescent="0.25">
      <c r="C78" s="37" t="s">
        <v>235</v>
      </c>
      <c r="D78" s="38">
        <v>42084</v>
      </c>
      <c r="E78" s="37" t="s">
        <v>213</v>
      </c>
      <c r="F78" s="40">
        <v>0</v>
      </c>
    </row>
    <row r="79" spans="3:6" x14ac:dyDescent="0.25">
      <c r="C79" s="37" t="s">
        <v>236</v>
      </c>
      <c r="D79" s="38">
        <v>44606</v>
      </c>
      <c r="E79" s="37" t="s">
        <v>213</v>
      </c>
      <c r="F79" s="40">
        <v>0.1</v>
      </c>
    </row>
    <row r="80" spans="3:6" x14ac:dyDescent="0.25">
      <c r="C80" s="37" t="s">
        <v>237</v>
      </c>
      <c r="D80" s="38">
        <v>45645</v>
      </c>
      <c r="E80" s="37" t="s">
        <v>213</v>
      </c>
      <c r="F80" s="40">
        <v>0.94</v>
      </c>
    </row>
    <row r="81" spans="3:6" x14ac:dyDescent="0.25">
      <c r="C81" s="37" t="s">
        <v>77</v>
      </c>
      <c r="D81" s="38">
        <v>45172</v>
      </c>
      <c r="E81" s="37" t="s">
        <v>213</v>
      </c>
      <c r="F81" s="40">
        <v>0.15</v>
      </c>
    </row>
    <row r="82" spans="3:6" ht="20.399999999999999" x14ac:dyDescent="0.25">
      <c r="C82" s="37" t="s">
        <v>238</v>
      </c>
      <c r="D82" s="38">
        <v>45168</v>
      </c>
      <c r="E82" s="37" t="s">
        <v>213</v>
      </c>
      <c r="F82" s="40">
        <v>0.5</v>
      </c>
    </row>
    <row r="83" spans="3:6" x14ac:dyDescent="0.25">
      <c r="C83" s="37" t="s">
        <v>239</v>
      </c>
      <c r="D83" s="38">
        <v>45357</v>
      </c>
      <c r="E83" s="37" t="s">
        <v>213</v>
      </c>
      <c r="F83" s="40">
        <v>1</v>
      </c>
    </row>
    <row r="84" spans="3:6" x14ac:dyDescent="0.25">
      <c r="C84" s="37" t="s">
        <v>240</v>
      </c>
      <c r="D84" s="38">
        <v>45877</v>
      </c>
      <c r="E84" s="37" t="s">
        <v>213</v>
      </c>
      <c r="F84" s="40">
        <v>0</v>
      </c>
    </row>
    <row r="85" spans="3:6" ht="20.399999999999999" x14ac:dyDescent="0.25">
      <c r="C85" s="37" t="s">
        <v>22</v>
      </c>
      <c r="D85" s="38">
        <v>44703</v>
      </c>
      <c r="E85" s="37" t="s">
        <v>213</v>
      </c>
      <c r="F85" s="40">
        <v>0.10580000000000001</v>
      </c>
    </row>
    <row r="86" spans="3:6" ht="20.399999999999999" x14ac:dyDescent="0.25">
      <c r="C86" s="37" t="s">
        <v>241</v>
      </c>
      <c r="D86" s="38">
        <v>41752</v>
      </c>
      <c r="E86" s="37" t="s">
        <v>213</v>
      </c>
      <c r="F86" s="40">
        <v>0</v>
      </c>
    </row>
    <row r="87" spans="3:6" x14ac:dyDescent="0.25">
      <c r="C87" s="37" t="s">
        <v>242</v>
      </c>
      <c r="D87" s="38">
        <v>45796</v>
      </c>
      <c r="E87" s="37" t="s">
        <v>213</v>
      </c>
      <c r="F87" s="40">
        <v>0.35710000000000003</v>
      </c>
    </row>
    <row r="88" spans="3:6" x14ac:dyDescent="0.25">
      <c r="C88" s="37" t="s">
        <v>243</v>
      </c>
      <c r="D88" s="38">
        <v>45958</v>
      </c>
      <c r="E88" s="37" t="s">
        <v>213</v>
      </c>
      <c r="F88" s="40">
        <v>0</v>
      </c>
    </row>
    <row r="89" spans="3:6" x14ac:dyDescent="0.25">
      <c r="C89" s="37" t="s">
        <v>24</v>
      </c>
      <c r="D89" s="38">
        <v>44726</v>
      </c>
      <c r="E89" s="37" t="s">
        <v>213</v>
      </c>
      <c r="F89" s="40">
        <v>0.95010000000000006</v>
      </c>
    </row>
    <row r="90" spans="3:6" x14ac:dyDescent="0.25">
      <c r="C90" s="37" t="s">
        <v>244</v>
      </c>
      <c r="D90" s="38">
        <v>42480</v>
      </c>
      <c r="E90" s="37" t="s">
        <v>213</v>
      </c>
      <c r="F90" s="40">
        <v>0</v>
      </c>
    </row>
    <row r="91" spans="3:6" x14ac:dyDescent="0.25">
      <c r="C91" s="37" t="s">
        <v>245</v>
      </c>
      <c r="D91" s="38">
        <v>45624</v>
      </c>
      <c r="E91" s="37" t="s">
        <v>213</v>
      </c>
      <c r="F91" s="40">
        <v>0</v>
      </c>
    </row>
    <row r="92" spans="3:6" x14ac:dyDescent="0.25">
      <c r="C92" s="37" t="s">
        <v>82</v>
      </c>
      <c r="D92" s="38">
        <v>43903</v>
      </c>
      <c r="E92" s="37" t="s">
        <v>213</v>
      </c>
      <c r="F92" s="40">
        <v>0.31659999999999999</v>
      </c>
    </row>
    <row r="93" spans="3:6" x14ac:dyDescent="0.25">
      <c r="C93" s="37" t="s">
        <v>246</v>
      </c>
      <c r="D93" s="38">
        <v>42485</v>
      </c>
      <c r="E93" s="37" t="s">
        <v>213</v>
      </c>
      <c r="F93" s="40">
        <v>0</v>
      </c>
    </row>
    <row r="94" spans="3:6" ht="20.399999999999999" x14ac:dyDescent="0.25">
      <c r="C94" s="37" t="s">
        <v>247</v>
      </c>
      <c r="D94" s="38">
        <v>45705</v>
      </c>
      <c r="E94" s="37" t="s">
        <v>213</v>
      </c>
      <c r="F94" s="40">
        <v>0</v>
      </c>
    </row>
    <row r="95" spans="3:6" x14ac:dyDescent="0.25">
      <c r="C95" s="37" t="s">
        <v>143</v>
      </c>
      <c r="D95" s="38">
        <v>45441</v>
      </c>
      <c r="E95" s="37" t="s">
        <v>213</v>
      </c>
      <c r="F95" s="40">
        <v>0.08</v>
      </c>
    </row>
    <row r="96" spans="3:6" x14ac:dyDescent="0.25">
      <c r="C96" s="37" t="s">
        <v>248</v>
      </c>
      <c r="D96" s="38">
        <v>41650</v>
      </c>
      <c r="E96" s="37" t="s">
        <v>213</v>
      </c>
      <c r="F96" s="40">
        <v>0</v>
      </c>
    </row>
    <row r="97" spans="3:6" x14ac:dyDescent="0.25">
      <c r="C97" s="37" t="s">
        <v>249</v>
      </c>
      <c r="D97" s="38">
        <v>44606</v>
      </c>
      <c r="E97" s="37" t="s">
        <v>213</v>
      </c>
      <c r="F97" s="40">
        <v>0.19239999999999999</v>
      </c>
    </row>
    <row r="98" spans="3:6" x14ac:dyDescent="0.25">
      <c r="C98" s="37" t="s">
        <v>250</v>
      </c>
      <c r="D98" s="38">
        <v>45612</v>
      </c>
      <c r="E98" s="37" t="s">
        <v>213</v>
      </c>
      <c r="F98" s="40">
        <v>0.13</v>
      </c>
    </row>
    <row r="99" spans="3:6" ht="20.399999999999999" x14ac:dyDescent="0.25">
      <c r="C99" s="37" t="s">
        <v>49</v>
      </c>
      <c r="D99" s="38">
        <v>45172</v>
      </c>
      <c r="E99" s="37" t="s">
        <v>213</v>
      </c>
      <c r="F99" s="40">
        <v>0.97319999999999995</v>
      </c>
    </row>
    <row r="100" spans="3:6" x14ac:dyDescent="0.25">
      <c r="C100" s="37" t="s">
        <v>142</v>
      </c>
      <c r="D100" s="38">
        <v>45447</v>
      </c>
      <c r="E100" s="37" t="s">
        <v>213</v>
      </c>
      <c r="F100" s="40">
        <v>0</v>
      </c>
    </row>
    <row r="101" spans="3:6" x14ac:dyDescent="0.25">
      <c r="C101" s="37" t="s">
        <v>251</v>
      </c>
      <c r="D101" s="38">
        <v>45958</v>
      </c>
      <c r="E101" s="37" t="s">
        <v>213</v>
      </c>
      <c r="F101" s="40">
        <v>0</v>
      </c>
    </row>
    <row r="102" spans="3:6" ht="20.399999999999999" x14ac:dyDescent="0.25">
      <c r="C102" s="37" t="s">
        <v>252</v>
      </c>
      <c r="D102" s="38">
        <v>41860</v>
      </c>
      <c r="E102" s="37" t="s">
        <v>213</v>
      </c>
      <c r="F102" s="40">
        <v>0</v>
      </c>
    </row>
    <row r="103" spans="3:6" ht="20.399999999999999" x14ac:dyDescent="0.25">
      <c r="C103" s="37" t="s">
        <v>253</v>
      </c>
      <c r="D103" s="38">
        <v>45290</v>
      </c>
      <c r="E103" s="37" t="s">
        <v>213</v>
      </c>
      <c r="F103" s="40">
        <v>1</v>
      </c>
    </row>
    <row r="104" spans="3:6" ht="20.399999999999999" x14ac:dyDescent="0.25">
      <c r="C104" s="37" t="s">
        <v>53</v>
      </c>
      <c r="D104" s="38">
        <v>45019</v>
      </c>
      <c r="E104" s="37" t="s">
        <v>213</v>
      </c>
      <c r="F104" s="40">
        <v>0</v>
      </c>
    </row>
    <row r="105" spans="3:6" x14ac:dyDescent="0.25">
      <c r="C105" s="37" t="s">
        <v>254</v>
      </c>
      <c r="D105" s="38">
        <v>45790</v>
      </c>
      <c r="E105" s="37" t="s">
        <v>213</v>
      </c>
      <c r="F105" s="40">
        <v>0</v>
      </c>
    </row>
    <row r="106" spans="3:6" x14ac:dyDescent="0.25">
      <c r="C106" s="37" t="s">
        <v>41</v>
      </c>
      <c r="D106" s="38">
        <v>45017</v>
      </c>
      <c r="E106" s="37" t="s">
        <v>213</v>
      </c>
      <c r="F106" s="40">
        <v>0.8859999999999999</v>
      </c>
    </row>
    <row r="107" spans="3:6" x14ac:dyDescent="0.25">
      <c r="C107" s="37" t="s">
        <v>255</v>
      </c>
      <c r="D107" s="38">
        <v>41806</v>
      </c>
      <c r="E107" s="37" t="s">
        <v>213</v>
      </c>
      <c r="F107" s="40">
        <v>0</v>
      </c>
    </row>
    <row r="108" spans="3:6" x14ac:dyDescent="0.25">
      <c r="C108" s="37" t="s">
        <v>255</v>
      </c>
      <c r="D108" s="38">
        <v>41540</v>
      </c>
      <c r="E108" s="37" t="s">
        <v>213</v>
      </c>
      <c r="F108" s="40">
        <v>0</v>
      </c>
    </row>
    <row r="109" spans="3:6" ht="20.399999999999999" x14ac:dyDescent="0.25">
      <c r="C109" s="37" t="s">
        <v>256</v>
      </c>
      <c r="D109" s="38">
        <v>42374</v>
      </c>
      <c r="E109" s="37" t="s">
        <v>213</v>
      </c>
      <c r="F109" s="40">
        <v>6.4000000000000001E-2</v>
      </c>
    </row>
    <row r="110" spans="3:6" x14ac:dyDescent="0.25">
      <c r="C110" s="37" t="s">
        <v>92</v>
      </c>
      <c r="D110" s="38">
        <v>45172</v>
      </c>
      <c r="E110" s="37" t="s">
        <v>213</v>
      </c>
      <c r="F110" s="40">
        <v>0</v>
      </c>
    </row>
    <row r="111" spans="3:6" x14ac:dyDescent="0.25">
      <c r="C111" s="37" t="s">
        <v>257</v>
      </c>
      <c r="D111" s="38">
        <v>41752</v>
      </c>
      <c r="E111" s="37" t="s">
        <v>213</v>
      </c>
      <c r="F111" s="40">
        <v>0</v>
      </c>
    </row>
    <row r="112" spans="3:6" x14ac:dyDescent="0.25">
      <c r="C112" s="37" t="s">
        <v>258</v>
      </c>
      <c r="D112" s="38">
        <v>45646</v>
      </c>
      <c r="E112" s="37" t="s">
        <v>213</v>
      </c>
      <c r="F112" s="40">
        <v>0.97459999999999991</v>
      </c>
    </row>
    <row r="113" spans="3:6" x14ac:dyDescent="0.25">
      <c r="C113" s="37" t="s">
        <v>259</v>
      </c>
      <c r="D113" s="38">
        <v>44142</v>
      </c>
      <c r="E113" s="37" t="s">
        <v>213</v>
      </c>
      <c r="F113" s="40">
        <v>0</v>
      </c>
    </row>
    <row r="114" spans="3:6" ht="20.399999999999999" x14ac:dyDescent="0.25">
      <c r="C114" s="37" t="s">
        <v>260</v>
      </c>
      <c r="D114" s="38">
        <v>42374</v>
      </c>
      <c r="E114" s="37" t="s">
        <v>213</v>
      </c>
      <c r="F114" s="40">
        <v>0</v>
      </c>
    </row>
    <row r="115" spans="3:6" x14ac:dyDescent="0.25">
      <c r="C115" s="37" t="s">
        <v>15</v>
      </c>
      <c r="D115" s="38">
        <v>44653</v>
      </c>
      <c r="E115" s="37" t="s">
        <v>213</v>
      </c>
      <c r="F115" s="40">
        <v>0.69420000000000004</v>
      </c>
    </row>
    <row r="116" spans="3:6" x14ac:dyDescent="0.25">
      <c r="C116" s="37" t="s">
        <v>62</v>
      </c>
      <c r="D116" s="38">
        <v>45325</v>
      </c>
      <c r="E116" s="37" t="s">
        <v>213</v>
      </c>
      <c r="F116" s="40">
        <v>1.6E-2</v>
      </c>
    </row>
    <row r="117" spans="3:6" x14ac:dyDescent="0.25">
      <c r="C117" s="37" t="s">
        <v>145</v>
      </c>
      <c r="D117" s="38">
        <v>45414</v>
      </c>
      <c r="E117" s="37" t="s">
        <v>213</v>
      </c>
      <c r="F117" s="40">
        <v>2.4E-2</v>
      </c>
    </row>
    <row r="118" spans="3:6" ht="20.399999999999999" x14ac:dyDescent="0.25">
      <c r="C118" s="37" t="s">
        <v>261</v>
      </c>
      <c r="D118" s="38">
        <v>45719</v>
      </c>
      <c r="E118" s="37" t="s">
        <v>213</v>
      </c>
      <c r="F118" s="40">
        <v>0</v>
      </c>
    </row>
    <row r="119" spans="3:6" ht="20.399999999999999" x14ac:dyDescent="0.25">
      <c r="C119" s="37" t="s">
        <v>262</v>
      </c>
      <c r="D119" s="38">
        <v>45647</v>
      </c>
      <c r="E119" s="37" t="s">
        <v>213</v>
      </c>
      <c r="F119" s="40">
        <v>0.36</v>
      </c>
    </row>
    <row r="120" spans="3:6" x14ac:dyDescent="0.25">
      <c r="C120" s="37" t="s">
        <v>12</v>
      </c>
      <c r="D120" s="38">
        <v>44606</v>
      </c>
      <c r="E120" s="37" t="s">
        <v>213</v>
      </c>
      <c r="F120" s="40">
        <v>0.86239999999999994</v>
      </c>
    </row>
    <row r="121" spans="3:6" x14ac:dyDescent="0.25">
      <c r="C121" s="37" t="s">
        <v>33</v>
      </c>
      <c r="D121" s="38">
        <v>44786</v>
      </c>
      <c r="E121" s="37" t="s">
        <v>213</v>
      </c>
      <c r="F121" s="40">
        <v>0.95</v>
      </c>
    </row>
    <row r="122" spans="3:6" x14ac:dyDescent="0.25">
      <c r="C122" s="37" t="s">
        <v>263</v>
      </c>
      <c r="D122" s="38">
        <v>45902</v>
      </c>
      <c r="E122" s="37" t="s">
        <v>213</v>
      </c>
      <c r="F122" s="40">
        <v>0</v>
      </c>
    </row>
    <row r="123" spans="3:6" x14ac:dyDescent="0.25">
      <c r="C123" s="37" t="s">
        <v>264</v>
      </c>
      <c r="D123" s="38">
        <v>42485</v>
      </c>
      <c r="E123" s="37" t="s">
        <v>213</v>
      </c>
      <c r="F123" s="40">
        <v>0</v>
      </c>
    </row>
    <row r="124" spans="3:6" ht="20.399999999999999" x14ac:dyDescent="0.25">
      <c r="C124" s="37" t="s">
        <v>28</v>
      </c>
      <c r="D124" s="38">
        <v>44694</v>
      </c>
      <c r="E124" s="37" t="s">
        <v>213</v>
      </c>
      <c r="F124" s="40">
        <v>0.7006</v>
      </c>
    </row>
    <row r="125" spans="3:6" x14ac:dyDescent="0.25">
      <c r="C125" s="37" t="s">
        <v>265</v>
      </c>
      <c r="D125" s="38">
        <v>44833</v>
      </c>
      <c r="E125" s="37" t="s">
        <v>213</v>
      </c>
      <c r="F125" s="40">
        <v>0</v>
      </c>
    </row>
    <row r="126" spans="3:6" x14ac:dyDescent="0.25">
      <c r="C126" s="37" t="s">
        <v>266</v>
      </c>
      <c r="D126" s="38">
        <v>41860</v>
      </c>
      <c r="E126" s="37" t="s">
        <v>213</v>
      </c>
      <c r="F126" s="40">
        <v>0</v>
      </c>
    </row>
    <row r="127" spans="3:6" x14ac:dyDescent="0.25">
      <c r="C127" s="37" t="s">
        <v>267</v>
      </c>
      <c r="D127" s="38">
        <v>44909</v>
      </c>
      <c r="E127" s="37" t="s">
        <v>213</v>
      </c>
      <c r="F127" s="40">
        <v>0</v>
      </c>
    </row>
    <row r="128" spans="3:6" x14ac:dyDescent="0.25">
      <c r="C128" s="37" t="s">
        <v>268</v>
      </c>
      <c r="D128" s="38">
        <v>41650</v>
      </c>
      <c r="E128" s="37" t="s">
        <v>213</v>
      </c>
      <c r="F128" s="40">
        <v>0</v>
      </c>
    </row>
    <row r="129" spans="3:6" x14ac:dyDescent="0.25">
      <c r="C129" s="37" t="s">
        <v>269</v>
      </c>
      <c r="D129" s="38">
        <v>45794</v>
      </c>
      <c r="E129" s="37" t="s">
        <v>213</v>
      </c>
      <c r="F129" s="40">
        <v>0</v>
      </c>
    </row>
    <row r="130" spans="3:6" ht="20.399999999999999" x14ac:dyDescent="0.25">
      <c r="C130" s="37" t="s">
        <v>86</v>
      </c>
      <c r="D130" s="38">
        <v>45238</v>
      </c>
      <c r="E130" s="37" t="s">
        <v>213</v>
      </c>
      <c r="F130" s="40">
        <v>0</v>
      </c>
    </row>
    <row r="131" spans="3:6" ht="20.399999999999999" x14ac:dyDescent="0.25">
      <c r="C131" s="37" t="s">
        <v>56</v>
      </c>
      <c r="D131" s="38">
        <v>45348</v>
      </c>
      <c r="E131" s="37" t="s">
        <v>213</v>
      </c>
      <c r="F131" s="40">
        <v>0</v>
      </c>
    </row>
    <row r="132" spans="3:6" x14ac:dyDescent="0.25">
      <c r="C132" s="37" t="s">
        <v>39</v>
      </c>
      <c r="D132" s="38">
        <v>45012</v>
      </c>
      <c r="E132" s="37" t="s">
        <v>213</v>
      </c>
      <c r="F132" s="40">
        <v>0.85950000000000004</v>
      </c>
    </row>
    <row r="133" spans="3:6" x14ac:dyDescent="0.25">
      <c r="C133" s="37" t="s">
        <v>270</v>
      </c>
      <c r="D133" s="38">
        <v>44078</v>
      </c>
      <c r="E133" s="37" t="s">
        <v>213</v>
      </c>
      <c r="F133" s="40">
        <v>0</v>
      </c>
    </row>
    <row r="134" spans="3:6" x14ac:dyDescent="0.25">
      <c r="C134" s="37" t="s">
        <v>244</v>
      </c>
      <c r="D134" s="38">
        <v>42106</v>
      </c>
      <c r="E134" s="37" t="s">
        <v>213</v>
      </c>
      <c r="F134" s="40">
        <v>0</v>
      </c>
    </row>
    <row r="135" spans="3:6" x14ac:dyDescent="0.25">
      <c r="C135" s="37" t="s">
        <v>94</v>
      </c>
      <c r="D135" s="38">
        <v>44151</v>
      </c>
      <c r="E135" s="37" t="s">
        <v>213</v>
      </c>
      <c r="F135" s="40">
        <v>0.21149999999999999</v>
      </c>
    </row>
    <row r="136" spans="3:6" x14ac:dyDescent="0.25">
      <c r="C136" s="37" t="s">
        <v>144</v>
      </c>
      <c r="D136" s="38">
        <v>45430</v>
      </c>
      <c r="E136" s="37" t="s">
        <v>213</v>
      </c>
      <c r="F136" s="40">
        <v>0</v>
      </c>
    </row>
    <row r="137" spans="3:6" x14ac:dyDescent="0.25">
      <c r="C137" s="37" t="s">
        <v>73</v>
      </c>
      <c r="D137" s="38">
        <v>44939</v>
      </c>
      <c r="E137" s="37" t="s">
        <v>213</v>
      </c>
      <c r="F137" s="40">
        <v>0.47499999999999998</v>
      </c>
    </row>
    <row r="138" spans="3:6" ht="20.399999999999999" x14ac:dyDescent="0.25">
      <c r="C138" s="37" t="s">
        <v>21</v>
      </c>
      <c r="D138" s="38">
        <v>44708</v>
      </c>
      <c r="E138" s="37" t="s">
        <v>213</v>
      </c>
      <c r="F138" s="40">
        <v>0.08</v>
      </c>
    </row>
    <row r="139" spans="3:6" x14ac:dyDescent="0.25">
      <c r="C139" s="37" t="s">
        <v>271</v>
      </c>
      <c r="D139" s="38">
        <v>45009</v>
      </c>
      <c r="E139" s="37" t="s">
        <v>213</v>
      </c>
      <c r="F139" s="40">
        <v>0</v>
      </c>
    </row>
    <row r="140" spans="3:6" x14ac:dyDescent="0.25">
      <c r="C140" s="37" t="s">
        <v>67</v>
      </c>
      <c r="D140" s="38">
        <v>45318</v>
      </c>
      <c r="E140" s="37" t="s">
        <v>213</v>
      </c>
      <c r="F140" s="40">
        <v>0</v>
      </c>
    </row>
    <row r="141" spans="3:6" x14ac:dyDescent="0.25">
      <c r="C141" s="37" t="s">
        <v>183</v>
      </c>
      <c r="D141" s="38">
        <v>45436</v>
      </c>
      <c r="E141" s="37" t="s">
        <v>213</v>
      </c>
      <c r="F141" s="40">
        <v>0.88060000000000005</v>
      </c>
    </row>
    <row r="142" spans="3:6" x14ac:dyDescent="0.25">
      <c r="C142" s="37" t="s">
        <v>272</v>
      </c>
      <c r="D142" s="38">
        <v>45925</v>
      </c>
      <c r="E142" s="37" t="s">
        <v>213</v>
      </c>
      <c r="F142" s="40">
        <v>0</v>
      </c>
    </row>
    <row r="143" spans="3:6" ht="20.399999999999999" x14ac:dyDescent="0.25">
      <c r="C143" s="37" t="s">
        <v>273</v>
      </c>
      <c r="D143" s="38">
        <v>45914</v>
      </c>
      <c r="E143" s="37" t="s">
        <v>213</v>
      </c>
      <c r="F143" s="40">
        <v>0</v>
      </c>
    </row>
    <row r="144" spans="3:6" x14ac:dyDescent="0.25">
      <c r="C144" s="37" t="s">
        <v>274</v>
      </c>
      <c r="D144" s="38">
        <v>45191</v>
      </c>
      <c r="E144" s="37" t="s">
        <v>213</v>
      </c>
      <c r="F144" s="40">
        <v>0.58329999999999993</v>
      </c>
    </row>
    <row r="145" spans="3:6" x14ac:dyDescent="0.25">
      <c r="C145" s="37" t="s">
        <v>275</v>
      </c>
      <c r="D145" s="38">
        <v>45963</v>
      </c>
      <c r="E145" s="37" t="s">
        <v>213</v>
      </c>
      <c r="F145" s="40">
        <v>0</v>
      </c>
    </row>
    <row r="146" spans="3:6" x14ac:dyDescent="0.25">
      <c r="C146" s="37" t="s">
        <v>74</v>
      </c>
      <c r="D146" s="38">
        <v>44151</v>
      </c>
      <c r="E146" s="37" t="s">
        <v>213</v>
      </c>
      <c r="F146" s="40">
        <v>0</v>
      </c>
    </row>
    <row r="147" spans="3:6" x14ac:dyDescent="0.25">
      <c r="C147" s="37" t="s">
        <v>276</v>
      </c>
      <c r="D147" s="38">
        <v>45787</v>
      </c>
      <c r="E147" s="37" t="s">
        <v>213</v>
      </c>
      <c r="F147" s="40">
        <v>0</v>
      </c>
    </row>
    <row r="148" spans="3:6" x14ac:dyDescent="0.25">
      <c r="C148" s="37" t="s">
        <v>277</v>
      </c>
      <c r="D148" s="38">
        <v>45963</v>
      </c>
      <c r="E148" s="37" t="s">
        <v>213</v>
      </c>
      <c r="F148" s="40">
        <v>0</v>
      </c>
    </row>
    <row r="149" spans="3:6" x14ac:dyDescent="0.25">
      <c r="C149" s="37" t="s">
        <v>27</v>
      </c>
      <c r="D149" s="38">
        <v>44073</v>
      </c>
      <c r="E149" s="37" t="s">
        <v>213</v>
      </c>
      <c r="F149" s="40">
        <v>0</v>
      </c>
    </row>
    <row r="150" spans="3:6" x14ac:dyDescent="0.25">
      <c r="C150" s="37" t="s">
        <v>278</v>
      </c>
      <c r="D150" s="38">
        <v>44635</v>
      </c>
      <c r="E150" s="37" t="s">
        <v>213</v>
      </c>
      <c r="F150" s="40">
        <v>0</v>
      </c>
    </row>
    <row r="151" spans="3:6" ht="20.399999999999999" x14ac:dyDescent="0.25">
      <c r="C151" s="37" t="s">
        <v>279</v>
      </c>
      <c r="D151" s="38">
        <v>41716</v>
      </c>
      <c r="E151" s="37" t="s">
        <v>213</v>
      </c>
      <c r="F151" s="40">
        <v>6.4000000000000003E-3</v>
      </c>
    </row>
    <row r="152" spans="3:6" ht="20.399999999999999" x14ac:dyDescent="0.25">
      <c r="C152" s="37" t="s">
        <v>88</v>
      </c>
      <c r="D152" s="38">
        <v>45109</v>
      </c>
      <c r="E152" s="37" t="s">
        <v>213</v>
      </c>
      <c r="F152" s="40">
        <v>0.2</v>
      </c>
    </row>
    <row r="153" spans="3:6" x14ac:dyDescent="0.25">
      <c r="C153" s="37" t="s">
        <v>280</v>
      </c>
      <c r="D153" s="38">
        <v>45529</v>
      </c>
      <c r="E153" s="37" t="s">
        <v>213</v>
      </c>
      <c r="F153" s="40">
        <v>0.21</v>
      </c>
    </row>
    <row r="154" spans="3:6" x14ac:dyDescent="0.25">
      <c r="C154" s="37" t="s">
        <v>281</v>
      </c>
      <c r="D154" s="38">
        <v>45612</v>
      </c>
      <c r="E154" s="37" t="s">
        <v>213</v>
      </c>
      <c r="F154" s="40">
        <v>0.96060000000000001</v>
      </c>
    </row>
    <row r="155" spans="3:6" x14ac:dyDescent="0.25">
      <c r="C155" s="37" t="s">
        <v>282</v>
      </c>
      <c r="D155" s="38">
        <v>45817</v>
      </c>
      <c r="E155" s="37" t="s">
        <v>213</v>
      </c>
      <c r="F155" s="40">
        <v>0</v>
      </c>
    </row>
    <row r="156" spans="3:6" x14ac:dyDescent="0.25">
      <c r="C156" s="37" t="s">
        <v>87</v>
      </c>
      <c r="D156" s="38">
        <v>45191</v>
      </c>
      <c r="E156" s="37" t="s">
        <v>213</v>
      </c>
      <c r="F156" s="40">
        <v>0</v>
      </c>
    </row>
    <row r="157" spans="3:6" x14ac:dyDescent="0.25">
      <c r="C157" s="37" t="s">
        <v>55</v>
      </c>
      <c r="D157" s="38">
        <v>45249</v>
      </c>
      <c r="E157" s="37" t="s">
        <v>213</v>
      </c>
      <c r="F157" s="40">
        <v>0.11840000000000001</v>
      </c>
    </row>
    <row r="158" spans="3:6" x14ac:dyDescent="0.25">
      <c r="C158" s="37" t="s">
        <v>283</v>
      </c>
      <c r="D158" s="38">
        <v>46018</v>
      </c>
      <c r="E158" s="37" t="s">
        <v>213</v>
      </c>
      <c r="F158" s="40">
        <v>0</v>
      </c>
    </row>
    <row r="159" spans="3:6" x14ac:dyDescent="0.25">
      <c r="C159" s="37" t="s">
        <v>89</v>
      </c>
      <c r="D159" s="38">
        <v>45064</v>
      </c>
      <c r="E159" s="37" t="s">
        <v>213</v>
      </c>
      <c r="F159" s="40">
        <v>0</v>
      </c>
    </row>
    <row r="160" spans="3:6" x14ac:dyDescent="0.25">
      <c r="C160" s="37" t="s">
        <v>66</v>
      </c>
      <c r="D160" s="38">
        <v>45348</v>
      </c>
      <c r="E160" s="37" t="s">
        <v>213</v>
      </c>
      <c r="F160" s="40">
        <v>0.12</v>
      </c>
    </row>
    <row r="161" spans="3:6" x14ac:dyDescent="0.25">
      <c r="C161" s="37" t="s">
        <v>284</v>
      </c>
      <c r="D161" s="38">
        <v>45778</v>
      </c>
      <c r="E161" s="37" t="s">
        <v>213</v>
      </c>
      <c r="F161" s="40">
        <v>0</v>
      </c>
    </row>
    <row r="162" spans="3:6" ht="20.399999999999999" x14ac:dyDescent="0.25">
      <c r="C162" s="37" t="s">
        <v>285</v>
      </c>
      <c r="D162" s="38">
        <v>42752</v>
      </c>
      <c r="E162" s="37" t="s">
        <v>213</v>
      </c>
      <c r="F162" s="40">
        <v>0</v>
      </c>
    </row>
    <row r="163" spans="3:6" ht="20.399999999999999" x14ac:dyDescent="0.25">
      <c r="C163" s="37" t="s">
        <v>286</v>
      </c>
      <c r="D163" s="38">
        <v>44612</v>
      </c>
      <c r="E163" s="37" t="s">
        <v>213</v>
      </c>
      <c r="F163" s="40">
        <v>0.97519999999999996</v>
      </c>
    </row>
    <row r="164" spans="3:6" x14ac:dyDescent="0.25">
      <c r="C164" s="37" t="s">
        <v>287</v>
      </c>
      <c r="D164" s="38">
        <v>45079</v>
      </c>
      <c r="E164" s="37" t="s">
        <v>213</v>
      </c>
      <c r="F164" s="40">
        <v>0.6764</v>
      </c>
    </row>
    <row r="165" spans="3:6" x14ac:dyDescent="0.25">
      <c r="C165" s="37" t="s">
        <v>288</v>
      </c>
      <c r="D165" s="38">
        <v>45851</v>
      </c>
      <c r="E165" s="37" t="s">
        <v>213</v>
      </c>
      <c r="F165" s="40">
        <v>0.36</v>
      </c>
    </row>
    <row r="166" spans="3:6" x14ac:dyDescent="0.25">
      <c r="C166" s="37" t="s">
        <v>289</v>
      </c>
      <c r="D166" s="38">
        <v>46014</v>
      </c>
      <c r="E166" s="37" t="s">
        <v>213</v>
      </c>
      <c r="F166" s="40">
        <v>0</v>
      </c>
    </row>
    <row r="167" spans="3:6" ht="20.399999999999999" x14ac:dyDescent="0.25">
      <c r="C167" s="37" t="s">
        <v>290</v>
      </c>
      <c r="D167" s="38">
        <v>44243</v>
      </c>
      <c r="E167" s="37" t="s">
        <v>213</v>
      </c>
      <c r="F167" s="40">
        <v>0</v>
      </c>
    </row>
    <row r="168" spans="3:6" x14ac:dyDescent="0.25">
      <c r="C168" s="37" t="s">
        <v>291</v>
      </c>
      <c r="D168" s="38">
        <v>45473</v>
      </c>
      <c r="E168" s="37" t="s">
        <v>213</v>
      </c>
      <c r="F168" s="40">
        <v>0.5</v>
      </c>
    </row>
    <row r="169" spans="3:6" x14ac:dyDescent="0.25">
      <c r="C169" s="37" t="s">
        <v>292</v>
      </c>
      <c r="D169" s="38">
        <v>45209</v>
      </c>
      <c r="E169" s="37" t="s">
        <v>213</v>
      </c>
      <c r="F169" s="40">
        <v>0.22500000000000001</v>
      </c>
    </row>
    <row r="170" spans="3:6" x14ac:dyDescent="0.25">
      <c r="C170" s="37" t="s">
        <v>293</v>
      </c>
      <c r="D170" s="38">
        <v>45625</v>
      </c>
      <c r="E170" s="37" t="s">
        <v>213</v>
      </c>
      <c r="F170" s="40">
        <v>0.25</v>
      </c>
    </row>
    <row r="171" spans="3:6" ht="20.399999999999999" x14ac:dyDescent="0.25">
      <c r="C171" s="37" t="s">
        <v>294</v>
      </c>
      <c r="D171" s="38">
        <v>45950</v>
      </c>
      <c r="E171" s="37" t="s">
        <v>213</v>
      </c>
      <c r="F171" s="40">
        <v>0</v>
      </c>
    </row>
    <row r="172" spans="3:6" x14ac:dyDescent="0.25">
      <c r="C172" s="37" t="s">
        <v>36</v>
      </c>
      <c r="D172" s="38">
        <v>44781</v>
      </c>
      <c r="E172" s="37" t="s">
        <v>213</v>
      </c>
      <c r="F172" s="40">
        <v>0.90060000000000007</v>
      </c>
    </row>
    <row r="173" spans="3:6" x14ac:dyDescent="0.25">
      <c r="C173" s="37" t="s">
        <v>295</v>
      </c>
      <c r="D173" s="38">
        <v>45778</v>
      </c>
      <c r="E173" s="37" t="s">
        <v>213</v>
      </c>
      <c r="F173" s="40">
        <v>0</v>
      </c>
    </row>
    <row r="174" spans="3:6" x14ac:dyDescent="0.25">
      <c r="C174" s="37" t="s">
        <v>296</v>
      </c>
      <c r="D174" s="38">
        <v>44991</v>
      </c>
      <c r="E174" s="37" t="s">
        <v>213</v>
      </c>
      <c r="F174" s="40">
        <v>0</v>
      </c>
    </row>
    <row r="175" spans="3:6" x14ac:dyDescent="0.25">
      <c r="C175" s="37" t="s">
        <v>297</v>
      </c>
      <c r="D175" s="38">
        <v>45781</v>
      </c>
      <c r="E175" s="37" t="s">
        <v>213</v>
      </c>
      <c r="F175" s="40">
        <v>0</v>
      </c>
    </row>
    <row r="176" spans="3:6" x14ac:dyDescent="0.25">
      <c r="C176" s="37" t="s">
        <v>298</v>
      </c>
      <c r="D176" s="38">
        <v>45902</v>
      </c>
      <c r="E176" s="37" t="s">
        <v>213</v>
      </c>
      <c r="F176" s="40">
        <v>0</v>
      </c>
    </row>
    <row r="177" spans="3:6" ht="20.399999999999999" x14ac:dyDescent="0.25">
      <c r="C177" s="37" t="s">
        <v>299</v>
      </c>
      <c r="D177" s="38">
        <v>45803</v>
      </c>
      <c r="E177" s="37" t="s">
        <v>213</v>
      </c>
      <c r="F177" s="40">
        <v>0</v>
      </c>
    </row>
    <row r="178" spans="3:6" ht="20.399999999999999" x14ac:dyDescent="0.25">
      <c r="C178" s="37" t="s">
        <v>300</v>
      </c>
      <c r="D178" s="38">
        <v>44151</v>
      </c>
      <c r="E178" s="37" t="s">
        <v>213</v>
      </c>
      <c r="F178" s="40">
        <v>0</v>
      </c>
    </row>
    <row r="179" spans="3:6" x14ac:dyDescent="0.25">
      <c r="C179" s="37" t="s">
        <v>181</v>
      </c>
      <c r="D179" s="38">
        <v>45690</v>
      </c>
      <c r="E179" s="37" t="s">
        <v>213</v>
      </c>
      <c r="F179" s="40">
        <v>0.84</v>
      </c>
    </row>
    <row r="180" spans="3:6" x14ac:dyDescent="0.25">
      <c r="C180" s="37" t="s">
        <v>14</v>
      </c>
      <c r="D180" s="38">
        <v>44607</v>
      </c>
      <c r="E180" s="37" t="s">
        <v>213</v>
      </c>
      <c r="F180" s="40">
        <v>0.94330000000000003</v>
      </c>
    </row>
    <row r="181" spans="3:6" x14ac:dyDescent="0.25">
      <c r="C181" s="37" t="s">
        <v>301</v>
      </c>
      <c r="D181" s="38">
        <v>42084</v>
      </c>
      <c r="E181" s="37" t="s">
        <v>213</v>
      </c>
      <c r="F181" s="40">
        <v>0</v>
      </c>
    </row>
    <row r="182" spans="3:6" x14ac:dyDescent="0.25">
      <c r="C182" s="37" t="s">
        <v>302</v>
      </c>
      <c r="D182" s="38">
        <v>41753</v>
      </c>
      <c r="E182" s="37" t="s">
        <v>213</v>
      </c>
      <c r="F182" s="40">
        <v>0</v>
      </c>
    </row>
    <row r="183" spans="3:6" x14ac:dyDescent="0.25">
      <c r="C183" s="37" t="s">
        <v>203</v>
      </c>
      <c r="D183" s="38">
        <v>45936</v>
      </c>
      <c r="E183" s="37" t="s">
        <v>213</v>
      </c>
      <c r="F183" s="40">
        <v>0.90049999999999997</v>
      </c>
    </row>
    <row r="184" spans="3:6" x14ac:dyDescent="0.25">
      <c r="C184" s="37" t="s">
        <v>90</v>
      </c>
      <c r="D184" s="38">
        <v>45018</v>
      </c>
      <c r="E184" s="37" t="s">
        <v>213</v>
      </c>
      <c r="F184" s="40">
        <v>0</v>
      </c>
    </row>
    <row r="185" spans="3:6" x14ac:dyDescent="0.25">
      <c r="C185" s="37" t="s">
        <v>69</v>
      </c>
      <c r="D185" s="38">
        <v>44151</v>
      </c>
      <c r="E185" s="37" t="s">
        <v>213</v>
      </c>
      <c r="F185" s="40">
        <v>0</v>
      </c>
    </row>
    <row r="186" spans="3:6" ht="20.399999999999999" x14ac:dyDescent="0.25">
      <c r="C186" s="37" t="s">
        <v>20</v>
      </c>
      <c r="D186" s="38">
        <v>44639</v>
      </c>
      <c r="E186" s="37" t="s">
        <v>213</v>
      </c>
      <c r="F186" s="40">
        <v>0.78239999999999998</v>
      </c>
    </row>
    <row r="187" spans="3:6" ht="20.399999999999999" x14ac:dyDescent="0.25">
      <c r="C187" s="37" t="s">
        <v>303</v>
      </c>
      <c r="D187" s="38">
        <v>45796</v>
      </c>
      <c r="E187" s="37" t="s">
        <v>213</v>
      </c>
      <c r="F187" s="40">
        <v>0</v>
      </c>
    </row>
    <row r="188" spans="3:6" ht="20.399999999999999" x14ac:dyDescent="0.25">
      <c r="C188" s="37" t="s">
        <v>304</v>
      </c>
      <c r="D188" s="38">
        <v>41655</v>
      </c>
      <c r="E188" s="37" t="s">
        <v>213</v>
      </c>
      <c r="F188" s="40">
        <v>0</v>
      </c>
    </row>
    <row r="189" spans="3:6" x14ac:dyDescent="0.25">
      <c r="C189" s="37" t="s">
        <v>305</v>
      </c>
      <c r="D189" s="38">
        <v>45018</v>
      </c>
      <c r="E189" s="37" t="s">
        <v>213</v>
      </c>
      <c r="F189" s="40">
        <v>0</v>
      </c>
    </row>
    <row r="190" spans="3:6" x14ac:dyDescent="0.25">
      <c r="C190" s="37" t="s">
        <v>306</v>
      </c>
      <c r="D190" s="38">
        <v>45790</v>
      </c>
      <c r="E190" s="37" t="s">
        <v>213</v>
      </c>
      <c r="F190" s="40">
        <v>0</v>
      </c>
    </row>
    <row r="191" spans="3:6" ht="20.399999999999999" x14ac:dyDescent="0.25">
      <c r="C191" s="37" t="s">
        <v>285</v>
      </c>
      <c r="D191" s="38">
        <v>42327</v>
      </c>
      <c r="E191" s="37" t="s">
        <v>213</v>
      </c>
      <c r="F191" s="40">
        <v>0</v>
      </c>
    </row>
    <row r="192" spans="3:6" x14ac:dyDescent="0.25">
      <c r="C192" s="37" t="s">
        <v>307</v>
      </c>
      <c r="D192" s="38">
        <v>43735</v>
      </c>
      <c r="E192" s="37" t="s">
        <v>213</v>
      </c>
      <c r="F192" s="40">
        <v>7.0599999999999996E-2</v>
      </c>
    </row>
    <row r="193" spans="3:6" x14ac:dyDescent="0.25">
      <c r="C193" s="37" t="s">
        <v>18</v>
      </c>
      <c r="D193" s="38">
        <v>44733</v>
      </c>
      <c r="E193" s="37" t="s">
        <v>213</v>
      </c>
      <c r="F193" s="40">
        <v>4.1700000000000001E-2</v>
      </c>
    </row>
    <row r="194" spans="3:6" x14ac:dyDescent="0.25">
      <c r="C194" s="37" t="s">
        <v>38</v>
      </c>
      <c r="D194" s="38">
        <v>44728</v>
      </c>
      <c r="E194" s="37" t="s">
        <v>213</v>
      </c>
      <c r="F194" s="40">
        <v>0.80559999999999998</v>
      </c>
    </row>
    <row r="195" spans="3:6" x14ac:dyDescent="0.25">
      <c r="C195" s="37" t="s">
        <v>308</v>
      </c>
      <c r="D195" s="38">
        <v>45944</v>
      </c>
      <c r="E195" s="37" t="s">
        <v>213</v>
      </c>
      <c r="F195" s="40">
        <v>0.24</v>
      </c>
    </row>
    <row r="196" spans="3:6" x14ac:dyDescent="0.25">
      <c r="C196" s="37" t="s">
        <v>309</v>
      </c>
      <c r="D196" s="38">
        <v>45856</v>
      </c>
      <c r="E196" s="37" t="s">
        <v>213</v>
      </c>
      <c r="F196" s="40">
        <v>0.08</v>
      </c>
    </row>
    <row r="197" spans="3:6" x14ac:dyDescent="0.25">
      <c r="C197" s="37" t="s">
        <v>310</v>
      </c>
      <c r="D197" s="38">
        <v>45856</v>
      </c>
      <c r="E197" s="37" t="s">
        <v>213</v>
      </c>
      <c r="F197" s="40">
        <v>0</v>
      </c>
    </row>
    <row r="198" spans="3:6" x14ac:dyDescent="0.25">
      <c r="C198" s="37" t="s">
        <v>311</v>
      </c>
      <c r="D198" s="38">
        <v>45803</v>
      </c>
      <c r="E198" s="37" t="s">
        <v>213</v>
      </c>
      <c r="F198" s="40">
        <v>0</v>
      </c>
    </row>
    <row r="199" spans="3:6" x14ac:dyDescent="0.25">
      <c r="C199" s="37" t="s">
        <v>312</v>
      </c>
      <c r="D199" s="38">
        <v>45948</v>
      </c>
      <c r="E199" s="37" t="s">
        <v>213</v>
      </c>
      <c r="F199" s="40">
        <v>0.21350000000000002</v>
      </c>
    </row>
    <row r="200" spans="3:6" ht="20.399999999999999" x14ac:dyDescent="0.25">
      <c r="C200" s="37" t="s">
        <v>25</v>
      </c>
      <c r="D200" s="38">
        <v>44659</v>
      </c>
      <c r="E200" s="37" t="s">
        <v>213</v>
      </c>
      <c r="F200" s="40">
        <v>0.13140000000000002</v>
      </c>
    </row>
    <row r="201" spans="3:6" ht="20.399999999999999" x14ac:dyDescent="0.25">
      <c r="C201" s="37" t="s">
        <v>313</v>
      </c>
      <c r="D201" s="38">
        <v>41806</v>
      </c>
      <c r="E201" s="37" t="s">
        <v>213</v>
      </c>
      <c r="F201" s="40">
        <v>0</v>
      </c>
    </row>
    <row r="202" spans="3:6" x14ac:dyDescent="0.25">
      <c r="C202" s="37" t="s">
        <v>314</v>
      </c>
      <c r="D202" s="38">
        <v>45034</v>
      </c>
      <c r="E202" s="37" t="s">
        <v>213</v>
      </c>
      <c r="F202" s="40">
        <v>0.99159999999999993</v>
      </c>
    </row>
    <row r="203" spans="3:6" ht="20.399999999999999" x14ac:dyDescent="0.25">
      <c r="C203" s="37" t="s">
        <v>315</v>
      </c>
      <c r="D203" s="38">
        <v>45647</v>
      </c>
      <c r="E203" s="37" t="s">
        <v>213</v>
      </c>
      <c r="F203" s="40">
        <v>0.47499999999999998</v>
      </c>
    </row>
    <row r="204" spans="3:6" x14ac:dyDescent="0.25">
      <c r="C204" s="37" t="s">
        <v>26</v>
      </c>
      <c r="D204" s="38">
        <v>44713</v>
      </c>
      <c r="E204" s="37" t="s">
        <v>213</v>
      </c>
      <c r="F204" s="40">
        <v>4.1700000000000001E-2</v>
      </c>
    </row>
    <row r="205" spans="3:6" ht="20.399999999999999" x14ac:dyDescent="0.25">
      <c r="C205" s="37" t="s">
        <v>221</v>
      </c>
      <c r="D205" s="38">
        <v>42021</v>
      </c>
      <c r="E205" s="37" t="s">
        <v>213</v>
      </c>
      <c r="F205" s="40">
        <v>0</v>
      </c>
    </row>
    <row r="206" spans="3:6" x14ac:dyDescent="0.25">
      <c r="C206" s="37" t="s">
        <v>68</v>
      </c>
      <c r="D206" s="38">
        <v>45352</v>
      </c>
      <c r="E206" s="37" t="s">
        <v>213</v>
      </c>
      <c r="F206" s="40">
        <v>0.20710000000000001</v>
      </c>
    </row>
    <row r="207" spans="3:6" x14ac:dyDescent="0.25">
      <c r="C207" s="37" t="s">
        <v>16</v>
      </c>
      <c r="D207" s="38">
        <v>44212</v>
      </c>
      <c r="E207" s="37" t="s">
        <v>213</v>
      </c>
      <c r="F207" s="40">
        <v>0.115</v>
      </c>
    </row>
    <row r="208" spans="3:6" x14ac:dyDescent="0.25">
      <c r="C208" s="37" t="s">
        <v>316</v>
      </c>
      <c r="D208" s="38">
        <v>45167</v>
      </c>
      <c r="E208" s="37" t="s">
        <v>213</v>
      </c>
      <c r="F208" s="40">
        <v>0</v>
      </c>
    </row>
    <row r="209" spans="3:6" ht="20.399999999999999" x14ac:dyDescent="0.25">
      <c r="C209" s="37" t="s">
        <v>317</v>
      </c>
      <c r="D209" s="38">
        <v>45218</v>
      </c>
      <c r="E209" s="37" t="s">
        <v>213</v>
      </c>
      <c r="F209" s="40">
        <v>1</v>
      </c>
    </row>
    <row r="210" spans="3:6" x14ac:dyDescent="0.25">
      <c r="C210" s="37" t="s">
        <v>30</v>
      </c>
      <c r="D210" s="38">
        <v>44078</v>
      </c>
      <c r="E210" s="37" t="s">
        <v>213</v>
      </c>
      <c r="F210" s="40">
        <v>0.10800000000000001</v>
      </c>
    </row>
    <row r="211" spans="3:6" x14ac:dyDescent="0.25">
      <c r="C211" s="37" t="s">
        <v>318</v>
      </c>
      <c r="D211" s="38">
        <v>41782</v>
      </c>
      <c r="E211" s="37" t="s">
        <v>213</v>
      </c>
      <c r="F211" s="40">
        <v>0</v>
      </c>
    </row>
    <row r="212" spans="3:6" x14ac:dyDescent="0.25">
      <c r="C212" s="37" t="s">
        <v>319</v>
      </c>
      <c r="D212" s="38">
        <v>45803</v>
      </c>
      <c r="E212" s="37" t="s">
        <v>213</v>
      </c>
      <c r="F212" s="40">
        <v>0</v>
      </c>
    </row>
    <row r="213" spans="3:6" x14ac:dyDescent="0.25">
      <c r="C213" s="37" t="s">
        <v>320</v>
      </c>
      <c r="D213" s="38">
        <v>45473</v>
      </c>
      <c r="E213" s="37" t="s">
        <v>213</v>
      </c>
      <c r="F213" s="40">
        <v>0</v>
      </c>
    </row>
    <row r="214" spans="3:6" x14ac:dyDescent="0.25">
      <c r="C214" s="37" t="s">
        <v>60</v>
      </c>
      <c r="D214" s="38">
        <v>45034</v>
      </c>
      <c r="E214" s="37" t="s">
        <v>213</v>
      </c>
      <c r="F214" s="40">
        <v>0.30599999999999999</v>
      </c>
    </row>
    <row r="215" spans="3:6" x14ac:dyDescent="0.25">
      <c r="C215" s="37" t="s">
        <v>321</v>
      </c>
      <c r="D215" s="38">
        <v>44797</v>
      </c>
      <c r="E215" s="37" t="s">
        <v>213</v>
      </c>
      <c r="F215" s="40">
        <v>0</v>
      </c>
    </row>
    <row r="216" spans="3:6" x14ac:dyDescent="0.25">
      <c r="C216" s="37" t="s">
        <v>322</v>
      </c>
      <c r="D216" s="38">
        <v>41770</v>
      </c>
      <c r="E216" s="37" t="s">
        <v>213</v>
      </c>
      <c r="F216" s="40">
        <v>0</v>
      </c>
    </row>
    <row r="217" spans="3:6" x14ac:dyDescent="0.25">
      <c r="C217" s="37" t="s">
        <v>322</v>
      </c>
      <c r="D217" s="38">
        <v>42046</v>
      </c>
      <c r="E217" s="37" t="s">
        <v>213</v>
      </c>
      <c r="F217" s="40">
        <v>0</v>
      </c>
    </row>
    <row r="218" spans="3:6" ht="20.399999999999999" x14ac:dyDescent="0.25">
      <c r="C218" s="37" t="s">
        <v>58</v>
      </c>
      <c r="D218" s="38">
        <v>45348</v>
      </c>
      <c r="E218" s="37" t="s">
        <v>213</v>
      </c>
      <c r="F218" s="40">
        <v>0</v>
      </c>
    </row>
    <row r="219" spans="3:6" ht="20.399999999999999" x14ac:dyDescent="0.25">
      <c r="C219" s="37" t="s">
        <v>323</v>
      </c>
      <c r="D219" s="38">
        <v>44212</v>
      </c>
      <c r="E219" s="37" t="s">
        <v>213</v>
      </c>
      <c r="F219" s="40">
        <v>0</v>
      </c>
    </row>
    <row r="220" spans="3:6" ht="20.399999999999999" x14ac:dyDescent="0.25">
      <c r="C220" s="37" t="s">
        <v>324</v>
      </c>
      <c r="D220" s="38">
        <v>44808</v>
      </c>
      <c r="E220" s="37" t="s">
        <v>213</v>
      </c>
      <c r="F220" s="40">
        <v>0</v>
      </c>
    </row>
    <row r="221" spans="3:6" x14ac:dyDescent="0.25">
      <c r="C221" s="37" t="s">
        <v>96</v>
      </c>
      <c r="D221" s="38">
        <v>43735</v>
      </c>
      <c r="E221" s="37" t="s">
        <v>213</v>
      </c>
      <c r="F221" s="40">
        <v>0.28749999999999998</v>
      </c>
    </row>
    <row r="222" spans="3:6" x14ac:dyDescent="0.25">
      <c r="C222" s="37" t="s">
        <v>325</v>
      </c>
      <c r="D222" s="38">
        <v>45746</v>
      </c>
      <c r="E222" s="37" t="s">
        <v>213</v>
      </c>
      <c r="F222" s="40">
        <v>0</v>
      </c>
    </row>
    <row r="223" spans="3:6" x14ac:dyDescent="0.25">
      <c r="C223" s="37" t="s">
        <v>326</v>
      </c>
      <c r="D223" s="38">
        <v>45796</v>
      </c>
      <c r="E223" s="37" t="s">
        <v>213</v>
      </c>
      <c r="F223" s="40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5532F-1F0F-42CE-8B07-87BBE58AA400}">
  <sheetPr>
    <tabColor theme="0"/>
  </sheetPr>
  <dimension ref="B1:J70"/>
  <sheetViews>
    <sheetView zoomScaleNormal="100" workbookViewId="0">
      <selection activeCell="C11" sqref="C11"/>
    </sheetView>
  </sheetViews>
  <sheetFormatPr defaultRowHeight="13.2" x14ac:dyDescent="0.25"/>
  <cols>
    <col min="1" max="1" width="1.88671875" customWidth="1"/>
    <col min="2" max="2" width="5.109375" bestFit="1" customWidth="1"/>
    <col min="3" max="3" width="60.5546875" bestFit="1" customWidth="1"/>
    <col min="4" max="4" width="15.21875" customWidth="1"/>
    <col min="5" max="5" width="16.44140625" bestFit="1" customWidth="1"/>
    <col min="6" max="6" width="8.109375" bestFit="1" customWidth="1"/>
    <col min="7" max="7" width="12.5546875" style="1" customWidth="1"/>
    <col min="8" max="8" width="13" bestFit="1" customWidth="1"/>
  </cols>
  <sheetData>
    <row r="1" spans="2:10" ht="6.6" customHeight="1" x14ac:dyDescent="0.25"/>
    <row r="2" spans="2:10" ht="16.8" x14ac:dyDescent="0.3">
      <c r="B2" s="9" t="s">
        <v>0</v>
      </c>
    </row>
    <row r="3" spans="2:10" x14ac:dyDescent="0.25">
      <c r="B3" s="10" t="s">
        <v>1</v>
      </c>
      <c r="C3" s="2"/>
      <c r="D3" s="11" t="s">
        <v>31</v>
      </c>
      <c r="E3" s="12" t="s">
        <v>32</v>
      </c>
      <c r="G3" s="11" t="s">
        <v>2</v>
      </c>
      <c r="H3" s="13" t="s">
        <v>100</v>
      </c>
    </row>
    <row r="4" spans="2:10" s="4" customFormat="1" x14ac:dyDescent="0.25"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  <c r="G4" s="15" t="s">
        <v>8</v>
      </c>
      <c r="H4" s="14" t="s">
        <v>9</v>
      </c>
    </row>
    <row r="5" spans="2:10" x14ac:dyDescent="0.25">
      <c r="B5" s="16">
        <v>1</v>
      </c>
      <c r="C5" s="17" t="s">
        <v>10</v>
      </c>
      <c r="D5" s="18" t="s">
        <v>11</v>
      </c>
      <c r="E5" s="19">
        <v>44622</v>
      </c>
      <c r="F5" s="20">
        <v>2022</v>
      </c>
      <c r="G5" s="21">
        <v>1</v>
      </c>
      <c r="H5" s="22"/>
    </row>
    <row r="6" spans="2:10" x14ac:dyDescent="0.25">
      <c r="B6" s="16">
        <f ca="1">IFERROR(OFFSET(B6,-1,0,1,1)+1,"")</f>
        <v>2</v>
      </c>
      <c r="C6" s="17" t="s">
        <v>12</v>
      </c>
      <c r="D6" s="18" t="s">
        <v>13</v>
      </c>
      <c r="E6" s="19">
        <v>44641</v>
      </c>
      <c r="F6" s="20">
        <v>2022</v>
      </c>
      <c r="G6" s="21">
        <v>1</v>
      </c>
      <c r="H6" s="22"/>
    </row>
    <row r="7" spans="2:10" x14ac:dyDescent="0.25">
      <c r="B7" s="16">
        <f ca="1">IFERROR(OFFSET(B7,-1,0,1,1)+1,"")</f>
        <v>3</v>
      </c>
      <c r="C7" s="17" t="s">
        <v>14</v>
      </c>
      <c r="D7" s="18" t="s">
        <v>13</v>
      </c>
      <c r="E7" s="19">
        <v>44710</v>
      </c>
      <c r="F7" s="20">
        <v>2022</v>
      </c>
      <c r="G7" s="21">
        <v>1</v>
      </c>
      <c r="H7" s="22"/>
    </row>
    <row r="8" spans="2:10" x14ac:dyDescent="0.25">
      <c r="B8" s="16">
        <f ca="1">IFERROR(OFFSET(B8,-1,0,1,1)+1,"")</f>
        <v>4</v>
      </c>
      <c r="C8" s="17" t="s">
        <v>15</v>
      </c>
      <c r="D8" s="18" t="s">
        <v>13</v>
      </c>
      <c r="E8" s="19">
        <v>44724</v>
      </c>
      <c r="F8" s="20">
        <v>2022</v>
      </c>
      <c r="G8" s="21">
        <v>1</v>
      </c>
      <c r="H8" s="22"/>
    </row>
    <row r="9" spans="2:10" x14ac:dyDescent="0.25">
      <c r="B9" s="16">
        <f ca="1">IFERROR(OFFSET(B9,-1,0,1,1)+1,"")</f>
        <v>5</v>
      </c>
      <c r="C9" s="17" t="s">
        <v>33</v>
      </c>
      <c r="D9" s="18" t="s">
        <v>34</v>
      </c>
      <c r="E9" s="19">
        <v>44807</v>
      </c>
      <c r="F9" s="20">
        <v>2022</v>
      </c>
      <c r="G9" s="21">
        <v>1</v>
      </c>
      <c r="H9" s="23"/>
      <c r="J9" s="24"/>
    </row>
    <row r="10" spans="2:10" x14ac:dyDescent="0.25">
      <c r="B10" s="16">
        <f t="shared" ref="B10:B70" ca="1" si="0">IFERROR(OFFSET(B10,-1,0,1,1)+1,"")</f>
        <v>6</v>
      </c>
      <c r="C10" s="17" t="s">
        <v>35</v>
      </c>
      <c r="D10" s="18" t="s">
        <v>34</v>
      </c>
      <c r="E10" s="19">
        <v>44939</v>
      </c>
      <c r="F10" s="25">
        <v>2023</v>
      </c>
      <c r="G10" s="21">
        <v>1</v>
      </c>
      <c r="H10" s="23"/>
      <c r="J10" s="24"/>
    </row>
    <row r="11" spans="2:10" x14ac:dyDescent="0.25">
      <c r="B11" s="16">
        <f t="shared" ca="1" si="0"/>
        <v>7</v>
      </c>
      <c r="C11" s="17" t="s">
        <v>24</v>
      </c>
      <c r="D11" s="18" t="s">
        <v>13</v>
      </c>
      <c r="E11" s="19">
        <v>44958</v>
      </c>
      <c r="F11" s="25">
        <v>2023</v>
      </c>
      <c r="G11" s="21">
        <v>1</v>
      </c>
      <c r="H11" s="23"/>
      <c r="J11" s="24"/>
    </row>
    <row r="12" spans="2:10" x14ac:dyDescent="0.25">
      <c r="B12" s="16">
        <f t="shared" ca="1" si="0"/>
        <v>8</v>
      </c>
      <c r="C12" s="17" t="s">
        <v>36</v>
      </c>
      <c r="D12" s="18" t="s">
        <v>37</v>
      </c>
      <c r="E12" s="19">
        <v>45001</v>
      </c>
      <c r="F12" s="25">
        <v>2023</v>
      </c>
      <c r="G12" s="21">
        <v>1</v>
      </c>
      <c r="H12" s="23"/>
      <c r="J12" s="24"/>
    </row>
    <row r="13" spans="2:10" x14ac:dyDescent="0.25">
      <c r="B13" s="16">
        <f t="shared" ca="1" si="0"/>
        <v>9</v>
      </c>
      <c r="C13" s="17" t="s">
        <v>38</v>
      </c>
      <c r="D13" s="18" t="s">
        <v>13</v>
      </c>
      <c r="E13" s="19">
        <v>45003</v>
      </c>
      <c r="F13" s="25">
        <v>2023</v>
      </c>
      <c r="G13" s="21">
        <v>1</v>
      </c>
      <c r="H13" s="23"/>
      <c r="J13" s="24"/>
    </row>
    <row r="14" spans="2:10" x14ac:dyDescent="0.25">
      <c r="B14" s="16">
        <f t="shared" ca="1" si="0"/>
        <v>10</v>
      </c>
      <c r="C14" s="17" t="s">
        <v>39</v>
      </c>
      <c r="D14" s="18" t="s">
        <v>40</v>
      </c>
      <c r="E14" s="19">
        <v>45080</v>
      </c>
      <c r="F14" s="25">
        <v>2023</v>
      </c>
      <c r="G14" s="21">
        <v>1</v>
      </c>
      <c r="H14" s="22"/>
    </row>
    <row r="15" spans="2:10" x14ac:dyDescent="0.25">
      <c r="B15" s="16">
        <f t="shared" ca="1" si="0"/>
        <v>11</v>
      </c>
      <c r="C15" s="17" t="s">
        <v>41</v>
      </c>
      <c r="D15" s="18" t="s">
        <v>40</v>
      </c>
      <c r="E15" s="19" t="s">
        <v>42</v>
      </c>
      <c r="F15" s="25">
        <v>2023</v>
      </c>
      <c r="G15" s="21">
        <v>1</v>
      </c>
      <c r="H15" s="22"/>
    </row>
    <row r="16" spans="2:10" x14ac:dyDescent="0.25">
      <c r="B16" s="16">
        <f t="shared" ref="B16:B40" ca="1" si="1">IFERROR(OFFSET(B16,-1,0,1,1)+1,"")</f>
        <v>12</v>
      </c>
      <c r="C16" s="17" t="s">
        <v>43</v>
      </c>
      <c r="D16" s="18" t="s">
        <v>11</v>
      </c>
      <c r="E16" s="19" t="s">
        <v>44</v>
      </c>
      <c r="F16" s="25">
        <v>2023</v>
      </c>
      <c r="G16" s="21">
        <v>1</v>
      </c>
      <c r="H16" s="23"/>
      <c r="J16" s="24"/>
    </row>
    <row r="17" spans="2:10" x14ac:dyDescent="0.25">
      <c r="B17" s="16">
        <f t="shared" ca="1" si="1"/>
        <v>13</v>
      </c>
      <c r="C17" s="17" t="s">
        <v>45</v>
      </c>
      <c r="D17" s="18" t="s">
        <v>11</v>
      </c>
      <c r="E17" s="19" t="s">
        <v>46</v>
      </c>
      <c r="F17" s="25">
        <v>2023</v>
      </c>
      <c r="G17" s="21">
        <v>1</v>
      </c>
      <c r="H17" s="23"/>
      <c r="J17" s="24"/>
    </row>
    <row r="18" spans="2:10" x14ac:dyDescent="0.25">
      <c r="B18" s="16">
        <f t="shared" ca="1" si="1"/>
        <v>14</v>
      </c>
      <c r="C18" s="17" t="s">
        <v>47</v>
      </c>
      <c r="D18" s="18" t="s">
        <v>11</v>
      </c>
      <c r="E18" s="19" t="s">
        <v>48</v>
      </c>
      <c r="F18" s="25">
        <v>2023</v>
      </c>
      <c r="G18" s="21">
        <v>1</v>
      </c>
      <c r="H18" s="23"/>
      <c r="J18" s="24"/>
    </row>
    <row r="19" spans="2:10" x14ac:dyDescent="0.25">
      <c r="B19" s="16">
        <f t="shared" ca="1" si="1"/>
        <v>15</v>
      </c>
      <c r="C19" s="17" t="s">
        <v>49</v>
      </c>
      <c r="D19" s="18" t="s">
        <v>13</v>
      </c>
      <c r="E19" s="19" t="s">
        <v>50</v>
      </c>
      <c r="F19" s="20">
        <v>2024</v>
      </c>
      <c r="G19" s="21">
        <v>1</v>
      </c>
      <c r="H19" s="23"/>
      <c r="J19" s="24"/>
    </row>
    <row r="20" spans="2:10" x14ac:dyDescent="0.25">
      <c r="B20" s="16">
        <f t="shared" ca="1" si="1"/>
        <v>16</v>
      </c>
      <c r="C20" s="17" t="s">
        <v>51</v>
      </c>
      <c r="D20" s="18" t="s">
        <v>11</v>
      </c>
      <c r="E20" s="19" t="s">
        <v>52</v>
      </c>
      <c r="F20" s="20">
        <v>2024</v>
      </c>
      <c r="G20" s="21">
        <v>1</v>
      </c>
      <c r="H20" s="23"/>
      <c r="J20" s="24"/>
    </row>
    <row r="21" spans="2:10" x14ac:dyDescent="0.25">
      <c r="B21" s="5">
        <f t="shared" ca="1" si="1"/>
        <v>17</v>
      </c>
      <c r="C21" s="6" t="s">
        <v>53</v>
      </c>
      <c r="D21" s="3" t="s">
        <v>54</v>
      </c>
      <c r="E21" s="7" t="s">
        <v>17</v>
      </c>
      <c r="F21" s="8">
        <v>2023</v>
      </c>
      <c r="G21" s="24">
        <v>0.06</v>
      </c>
      <c r="H21" s="26" t="str">
        <f t="shared" ref="H21:H27" si="2">IF(G21-J21=0,"",ROUND(G21-J21,2)*100&amp;"% Better")</f>
        <v>5% Better</v>
      </c>
      <c r="J21" s="24">
        <v>0.01</v>
      </c>
    </row>
    <row r="22" spans="2:10" x14ac:dyDescent="0.25">
      <c r="B22" s="5">
        <f t="shared" ca="1" si="1"/>
        <v>18</v>
      </c>
      <c r="C22" s="6" t="s">
        <v>55</v>
      </c>
      <c r="D22" s="3" t="s">
        <v>40</v>
      </c>
      <c r="E22" s="7" t="s">
        <v>17</v>
      </c>
      <c r="F22" s="8">
        <v>2023</v>
      </c>
      <c r="G22" s="24">
        <v>0.21</v>
      </c>
      <c r="H22" s="26" t="str">
        <f t="shared" si="2"/>
        <v>21% Better</v>
      </c>
      <c r="J22" s="24"/>
    </row>
    <row r="23" spans="2:10" x14ac:dyDescent="0.25">
      <c r="B23" s="5">
        <f t="shared" ca="1" si="1"/>
        <v>19</v>
      </c>
      <c r="C23" s="6" t="s">
        <v>56</v>
      </c>
      <c r="D23" s="3" t="s">
        <v>57</v>
      </c>
      <c r="E23" s="7" t="s">
        <v>17</v>
      </c>
      <c r="F23" s="8">
        <v>2024</v>
      </c>
      <c r="G23" s="24">
        <v>0.17</v>
      </c>
      <c r="H23" s="26" t="str">
        <f t="shared" si="2"/>
        <v>17% Better</v>
      </c>
      <c r="J23" s="24"/>
    </row>
    <row r="24" spans="2:10" x14ac:dyDescent="0.25">
      <c r="B24" s="5">
        <f t="shared" ca="1" si="1"/>
        <v>20</v>
      </c>
      <c r="C24" s="6" t="s">
        <v>58</v>
      </c>
      <c r="D24" s="3" t="s">
        <v>57</v>
      </c>
      <c r="E24" s="7" t="s">
        <v>17</v>
      </c>
      <c r="F24" s="8">
        <v>2024</v>
      </c>
      <c r="G24" s="24">
        <v>0.17</v>
      </c>
      <c r="H24" s="26" t="str">
        <f t="shared" si="2"/>
        <v>17% Better</v>
      </c>
      <c r="J24" s="24"/>
    </row>
    <row r="25" spans="2:10" x14ac:dyDescent="0.25">
      <c r="B25" s="5">
        <f t="shared" ca="1" si="1"/>
        <v>21</v>
      </c>
      <c r="C25" s="6" t="s">
        <v>59</v>
      </c>
      <c r="D25" s="3" t="s">
        <v>13</v>
      </c>
      <c r="E25" s="27" t="s">
        <v>17</v>
      </c>
      <c r="F25" s="28">
        <v>2024</v>
      </c>
      <c r="G25" s="24">
        <v>0.38</v>
      </c>
      <c r="H25" s="26" t="str">
        <f t="shared" si="2"/>
        <v>38% Better</v>
      </c>
    </row>
    <row r="26" spans="2:10" x14ac:dyDescent="0.25">
      <c r="B26" s="5">
        <f t="shared" ca="1" si="1"/>
        <v>22</v>
      </c>
      <c r="C26" s="6" t="s">
        <v>60</v>
      </c>
      <c r="D26" s="3" t="s">
        <v>61</v>
      </c>
      <c r="E26" s="7" t="s">
        <v>17</v>
      </c>
      <c r="F26" s="8">
        <v>2023</v>
      </c>
      <c r="G26" s="24">
        <v>0.53</v>
      </c>
      <c r="H26" s="26" t="str">
        <f t="shared" si="2"/>
        <v>5% Better</v>
      </c>
      <c r="J26" s="24">
        <v>0.48</v>
      </c>
    </row>
    <row r="27" spans="2:10" x14ac:dyDescent="0.25">
      <c r="B27" s="5">
        <f t="shared" ca="1" si="1"/>
        <v>23</v>
      </c>
      <c r="C27" s="6" t="s">
        <v>62</v>
      </c>
      <c r="D27" s="3" t="s">
        <v>57</v>
      </c>
      <c r="E27" s="7" t="s">
        <v>17</v>
      </c>
      <c r="F27" s="8">
        <v>2024</v>
      </c>
      <c r="G27" s="24">
        <v>7.0000000000000007E-2</v>
      </c>
      <c r="H27" s="26" t="str">
        <f t="shared" si="2"/>
        <v>7% Better</v>
      </c>
      <c r="J27" s="24"/>
    </row>
    <row r="28" spans="2:10" x14ac:dyDescent="0.25">
      <c r="B28" s="5">
        <f t="shared" ca="1" si="1"/>
        <v>24</v>
      </c>
      <c r="C28" s="6" t="s">
        <v>63</v>
      </c>
      <c r="D28" s="3" t="s">
        <v>54</v>
      </c>
      <c r="E28" s="7" t="s">
        <v>17</v>
      </c>
      <c r="F28" s="8">
        <v>2023</v>
      </c>
      <c r="G28" s="24">
        <v>0.09</v>
      </c>
      <c r="H28" s="26" t="str">
        <f>IF(G28-J28=0,"",ROUND(G28-J28,2)*100&amp;"% Better")</f>
        <v/>
      </c>
      <c r="J28" s="24">
        <v>0.09</v>
      </c>
    </row>
    <row r="29" spans="2:10" x14ac:dyDescent="0.25">
      <c r="B29" s="5">
        <f t="shared" ca="1" si="1"/>
        <v>25</v>
      </c>
      <c r="C29" s="6" t="s">
        <v>64</v>
      </c>
      <c r="D29" s="3" t="s">
        <v>65</v>
      </c>
      <c r="E29" s="7" t="s">
        <v>17</v>
      </c>
      <c r="F29" s="8">
        <v>2023</v>
      </c>
      <c r="G29" s="24">
        <v>0.64</v>
      </c>
      <c r="H29" s="26" t="str">
        <f t="shared" ref="H29:H32" si="3">IF(G29-J29=0,"",ROUND(G29-J29,2)*100&amp;"% Better")</f>
        <v>28% Better</v>
      </c>
      <c r="J29" s="24">
        <v>0.36</v>
      </c>
    </row>
    <row r="30" spans="2:10" x14ac:dyDescent="0.25">
      <c r="B30" s="5">
        <f t="shared" ca="1" si="1"/>
        <v>26</v>
      </c>
      <c r="C30" s="6" t="s">
        <v>66</v>
      </c>
      <c r="D30" s="3" t="s">
        <v>57</v>
      </c>
      <c r="E30" s="7" t="s">
        <v>17</v>
      </c>
      <c r="F30" s="8">
        <v>2024</v>
      </c>
      <c r="G30" s="24">
        <v>0.36</v>
      </c>
      <c r="H30" s="26" t="str">
        <f t="shared" si="3"/>
        <v>36% Better</v>
      </c>
      <c r="J30" s="24"/>
    </row>
    <row r="31" spans="2:10" x14ac:dyDescent="0.25">
      <c r="B31" s="5">
        <f t="shared" ca="1" si="1"/>
        <v>27</v>
      </c>
      <c r="C31" s="6" t="s">
        <v>67</v>
      </c>
      <c r="D31" s="3" t="s">
        <v>57</v>
      </c>
      <c r="E31" s="7" t="s">
        <v>17</v>
      </c>
      <c r="F31" s="8">
        <v>2024</v>
      </c>
      <c r="G31" s="24">
        <v>0.2</v>
      </c>
      <c r="H31" s="26" t="str">
        <f t="shared" si="3"/>
        <v>20% Better</v>
      </c>
      <c r="J31" s="24"/>
    </row>
    <row r="32" spans="2:10" x14ac:dyDescent="0.25">
      <c r="B32" s="5">
        <f t="shared" ca="1" si="1"/>
        <v>28</v>
      </c>
      <c r="C32" s="6" t="s">
        <v>68</v>
      </c>
      <c r="D32" s="3" t="s">
        <v>57</v>
      </c>
      <c r="E32" s="7" t="s">
        <v>17</v>
      </c>
      <c r="F32" s="8">
        <v>2024</v>
      </c>
      <c r="G32" s="24">
        <v>0.19</v>
      </c>
      <c r="H32" s="26" t="str">
        <f t="shared" si="3"/>
        <v>19% Better</v>
      </c>
      <c r="J32" s="24"/>
    </row>
    <row r="33" spans="2:10" x14ac:dyDescent="0.25">
      <c r="B33" s="5">
        <f t="shared" ca="1" si="1"/>
        <v>29</v>
      </c>
      <c r="C33" s="6" t="s">
        <v>30</v>
      </c>
      <c r="D33" s="3" t="s">
        <v>19</v>
      </c>
      <c r="E33" s="7" t="s">
        <v>17</v>
      </c>
      <c r="F33" s="8">
        <v>2023</v>
      </c>
      <c r="G33" s="24">
        <v>0.45</v>
      </c>
      <c r="H33" s="26" t="str">
        <f t="shared" ref="H33:H40" si="4">IF(G33-J33=0,"",ROUND(G33-J33,2)*100&amp;"% Better")</f>
        <v>2% Better</v>
      </c>
      <c r="J33" s="24">
        <v>0.43</v>
      </c>
    </row>
    <row r="34" spans="2:10" x14ac:dyDescent="0.25">
      <c r="B34" s="5">
        <f t="shared" ca="1" si="1"/>
        <v>30</v>
      </c>
      <c r="C34" s="6" t="s">
        <v>69</v>
      </c>
      <c r="D34" s="3" t="s">
        <v>70</v>
      </c>
      <c r="E34" s="7" t="s">
        <v>17</v>
      </c>
      <c r="F34" s="8">
        <v>2023</v>
      </c>
      <c r="G34" s="24">
        <v>0.05</v>
      </c>
      <c r="H34" s="26" t="str">
        <f t="shared" si="4"/>
        <v/>
      </c>
      <c r="J34" s="24">
        <v>0.05</v>
      </c>
    </row>
    <row r="35" spans="2:10" x14ac:dyDescent="0.25">
      <c r="B35" s="5">
        <f t="shared" ca="1" si="1"/>
        <v>31</v>
      </c>
      <c r="C35" s="6" t="s">
        <v>71</v>
      </c>
      <c r="D35" s="3" t="s">
        <v>72</v>
      </c>
      <c r="E35" s="7" t="s">
        <v>17</v>
      </c>
      <c r="F35" s="8">
        <v>2023</v>
      </c>
      <c r="G35" s="24">
        <v>0.26</v>
      </c>
      <c r="H35" s="26" t="str">
        <f t="shared" si="4"/>
        <v>21% Better</v>
      </c>
      <c r="J35" s="24">
        <v>0.05</v>
      </c>
    </row>
    <row r="36" spans="2:10" x14ac:dyDescent="0.25">
      <c r="B36" s="5">
        <f t="shared" ca="1" si="1"/>
        <v>32</v>
      </c>
      <c r="C36" s="6" t="s">
        <v>73</v>
      </c>
      <c r="D36" s="3" t="s">
        <v>34</v>
      </c>
      <c r="E36" s="7" t="s">
        <v>17</v>
      </c>
      <c r="F36" s="8">
        <v>2023</v>
      </c>
      <c r="G36" s="24">
        <v>0.69</v>
      </c>
      <c r="H36" s="26" t="str">
        <f t="shared" si="4"/>
        <v>11% Better</v>
      </c>
      <c r="J36" s="24">
        <v>0.57999999999999996</v>
      </c>
    </row>
    <row r="37" spans="2:10" x14ac:dyDescent="0.25">
      <c r="B37" s="5">
        <f t="shared" ca="1" si="1"/>
        <v>33</v>
      </c>
      <c r="C37" s="6" t="s">
        <v>74</v>
      </c>
      <c r="D37" s="3" t="s">
        <v>75</v>
      </c>
      <c r="E37" s="7" t="s">
        <v>17</v>
      </c>
      <c r="F37" s="8">
        <v>2023</v>
      </c>
      <c r="G37" s="24">
        <v>0.35</v>
      </c>
      <c r="H37" s="26" t="str">
        <f t="shared" si="4"/>
        <v/>
      </c>
      <c r="J37" s="24">
        <v>0.35</v>
      </c>
    </row>
    <row r="38" spans="2:10" x14ac:dyDescent="0.25">
      <c r="B38" s="5">
        <f t="shared" ca="1" si="1"/>
        <v>34</v>
      </c>
      <c r="C38" s="6" t="s">
        <v>76</v>
      </c>
      <c r="D38" s="3" t="s">
        <v>61</v>
      </c>
      <c r="E38" s="7" t="s">
        <v>17</v>
      </c>
      <c r="F38" s="8">
        <v>2023</v>
      </c>
      <c r="G38" s="24">
        <v>0.18</v>
      </c>
      <c r="H38" s="26" t="str">
        <f t="shared" si="4"/>
        <v/>
      </c>
      <c r="J38" s="24">
        <v>0.18</v>
      </c>
    </row>
    <row r="39" spans="2:10" x14ac:dyDescent="0.25">
      <c r="B39" s="5">
        <f t="shared" ca="1" si="1"/>
        <v>35</v>
      </c>
      <c r="C39" s="6" t="s">
        <v>77</v>
      </c>
      <c r="D39" s="3" t="s">
        <v>37</v>
      </c>
      <c r="E39" s="7" t="s">
        <v>17</v>
      </c>
      <c r="F39" s="8">
        <v>2023</v>
      </c>
      <c r="G39" s="24">
        <v>0.21</v>
      </c>
      <c r="H39" s="26" t="str">
        <f t="shared" si="4"/>
        <v/>
      </c>
      <c r="J39" s="24">
        <v>0.21</v>
      </c>
    </row>
    <row r="40" spans="2:10" x14ac:dyDescent="0.25">
      <c r="B40" s="5">
        <f t="shared" ca="1" si="1"/>
        <v>36</v>
      </c>
      <c r="C40" s="6" t="s">
        <v>78</v>
      </c>
      <c r="D40" s="3" t="s">
        <v>19</v>
      </c>
      <c r="E40" s="7" t="s">
        <v>17</v>
      </c>
      <c r="F40" s="8">
        <v>2023</v>
      </c>
      <c r="G40" s="24">
        <v>0.06</v>
      </c>
      <c r="H40" s="26" t="str">
        <f t="shared" si="4"/>
        <v/>
      </c>
      <c r="J40" s="24">
        <v>0.06</v>
      </c>
    </row>
    <row r="41" spans="2:10" x14ac:dyDescent="0.25">
      <c r="B41" s="5">
        <f t="shared" ca="1" si="0"/>
        <v>37</v>
      </c>
      <c r="C41" s="6" t="s">
        <v>79</v>
      </c>
      <c r="D41" s="3" t="s">
        <v>37</v>
      </c>
      <c r="E41" s="7" t="s">
        <v>17</v>
      </c>
      <c r="F41" s="8">
        <v>2023</v>
      </c>
      <c r="G41" s="24">
        <v>0.11</v>
      </c>
      <c r="H41" s="26" t="str">
        <f t="shared" ref="H41" si="5">IF(G41-J41=0,"",ROUND(G41-J41,2)*100&amp;"% Better")</f>
        <v/>
      </c>
      <c r="J41" s="24">
        <v>0.11</v>
      </c>
    </row>
    <row r="42" spans="2:10" x14ac:dyDescent="0.25">
      <c r="B42" s="5">
        <f ca="1">IFERROR(OFFSET(B42,-1,0,1,1)+1,"")</f>
        <v>38</v>
      </c>
      <c r="C42" s="6" t="s">
        <v>80</v>
      </c>
      <c r="D42" s="3" t="s">
        <v>81</v>
      </c>
      <c r="E42" s="7" t="s">
        <v>17</v>
      </c>
      <c r="F42" s="8">
        <v>2023</v>
      </c>
      <c r="G42" s="24">
        <v>0.06</v>
      </c>
      <c r="H42" s="26" t="str">
        <f>IF(G42-J42=0,"",ROUND(G42-J42,2)*100&amp;"% Better")</f>
        <v/>
      </c>
      <c r="J42" s="24">
        <v>0.06</v>
      </c>
    </row>
    <row r="43" spans="2:10" x14ac:dyDescent="0.25">
      <c r="B43" s="5">
        <f ca="1">IFERROR(OFFSET(B43,-1,0,1,1)+1,"")</f>
        <v>39</v>
      </c>
      <c r="C43" s="6" t="s">
        <v>82</v>
      </c>
      <c r="D43" s="3" t="s">
        <v>83</v>
      </c>
      <c r="E43" s="7" t="s">
        <v>17</v>
      </c>
      <c r="F43" s="8">
        <v>2023</v>
      </c>
      <c r="G43" s="24">
        <v>0.45</v>
      </c>
      <c r="H43" s="26" t="str">
        <f>IF(G43-J43=0,"",ROUND(G43-J43,2)*100&amp;"% Better")</f>
        <v>9% Better</v>
      </c>
      <c r="J43" s="24">
        <v>0.36</v>
      </c>
    </row>
    <row r="44" spans="2:10" x14ac:dyDescent="0.25">
      <c r="B44" s="5">
        <f ca="1">IFERROR(OFFSET(B44,-1,0,1,1)+1,"")</f>
        <v>40</v>
      </c>
      <c r="C44" s="6" t="s">
        <v>23</v>
      </c>
      <c r="D44" s="3" t="s">
        <v>13</v>
      </c>
      <c r="E44" s="7" t="s">
        <v>17</v>
      </c>
      <c r="F44" s="8">
        <v>2023</v>
      </c>
      <c r="G44" s="24">
        <v>0.55000000000000004</v>
      </c>
      <c r="H44" s="26" t="str">
        <f>IF(G44-J44=0,"",ROUND(G44-J44,2)*100&amp;"% Better")</f>
        <v/>
      </c>
      <c r="J44" s="24">
        <v>0.55000000000000004</v>
      </c>
    </row>
    <row r="45" spans="2:10" x14ac:dyDescent="0.25">
      <c r="B45" s="5">
        <f ca="1">IFERROR(OFFSET(B45,-1,0,1,1)+1,"")</f>
        <v>41</v>
      </c>
      <c r="C45" s="6" t="s">
        <v>84</v>
      </c>
      <c r="D45" s="3" t="s">
        <v>72</v>
      </c>
      <c r="E45" s="7" t="s">
        <v>17</v>
      </c>
      <c r="F45" s="8">
        <v>2024</v>
      </c>
      <c r="G45" s="24">
        <v>0</v>
      </c>
      <c r="H45" s="26" t="str">
        <f>IF(G45-J45=0,"",ROUND(G45-J45,2)*100&amp;"% Better")</f>
        <v/>
      </c>
      <c r="J45" s="24">
        <v>0</v>
      </c>
    </row>
    <row r="46" spans="2:10" x14ac:dyDescent="0.25">
      <c r="B46" s="5">
        <f t="shared" ca="1" si="0"/>
        <v>42</v>
      </c>
      <c r="C46" s="6" t="s">
        <v>85</v>
      </c>
      <c r="D46" s="3" t="s">
        <v>37</v>
      </c>
      <c r="E46" s="7" t="s">
        <v>17</v>
      </c>
      <c r="F46" s="8">
        <v>2024</v>
      </c>
      <c r="G46" s="24">
        <v>0.16</v>
      </c>
      <c r="H46" s="26" t="str">
        <f t="shared" ref="H46:H51" si="6">IF(G46-J46=0,"",ROUND(G46-J46,2)*100&amp;"% Better")</f>
        <v>16% Better</v>
      </c>
      <c r="J46" s="24">
        <v>0</v>
      </c>
    </row>
    <row r="47" spans="2:10" x14ac:dyDescent="0.25">
      <c r="B47" s="5">
        <f t="shared" ca="1" si="0"/>
        <v>43</v>
      </c>
      <c r="C47" s="6" t="s">
        <v>86</v>
      </c>
      <c r="D47" s="3" t="s">
        <v>13</v>
      </c>
      <c r="E47" s="7" t="s">
        <v>17</v>
      </c>
      <c r="F47" s="8">
        <v>2023</v>
      </c>
      <c r="G47" s="24">
        <v>0.04</v>
      </c>
      <c r="H47" s="26" t="str">
        <f t="shared" si="6"/>
        <v>4% Better</v>
      </c>
      <c r="J47" s="24">
        <v>0</v>
      </c>
    </row>
    <row r="48" spans="2:10" x14ac:dyDescent="0.25">
      <c r="B48" s="5">
        <f t="shared" ca="1" si="0"/>
        <v>44</v>
      </c>
      <c r="C48" s="6" t="s">
        <v>87</v>
      </c>
      <c r="D48" s="3" t="s">
        <v>13</v>
      </c>
      <c r="E48" s="7" t="s">
        <v>17</v>
      </c>
      <c r="F48" s="8">
        <v>2024</v>
      </c>
      <c r="G48" s="24">
        <v>0.5</v>
      </c>
      <c r="H48" s="26" t="str">
        <f t="shared" si="6"/>
        <v>50% Better</v>
      </c>
      <c r="J48" s="24">
        <v>0</v>
      </c>
    </row>
    <row r="49" spans="2:10" x14ac:dyDescent="0.25">
      <c r="B49" s="5">
        <f t="shared" ca="1" si="0"/>
        <v>45</v>
      </c>
      <c r="C49" s="6" t="s">
        <v>88</v>
      </c>
      <c r="D49" s="3" t="s">
        <v>13</v>
      </c>
      <c r="E49" s="7" t="s">
        <v>17</v>
      </c>
      <c r="F49" s="8">
        <v>2024</v>
      </c>
      <c r="G49" s="24">
        <v>0</v>
      </c>
      <c r="H49" s="26" t="str">
        <f t="shared" si="6"/>
        <v/>
      </c>
      <c r="J49" s="24">
        <v>0</v>
      </c>
    </row>
    <row r="50" spans="2:10" x14ac:dyDescent="0.25">
      <c r="B50" s="5">
        <f t="shared" ca="1" si="0"/>
        <v>46</v>
      </c>
      <c r="C50" s="6" t="s">
        <v>89</v>
      </c>
      <c r="D50" s="3" t="s">
        <v>61</v>
      </c>
      <c r="E50" s="7" t="s">
        <v>17</v>
      </c>
      <c r="F50" s="8">
        <v>2024</v>
      </c>
      <c r="G50" s="24">
        <v>0.24</v>
      </c>
      <c r="H50" s="26" t="str">
        <f t="shared" si="6"/>
        <v>24% Better</v>
      </c>
      <c r="J50" s="24">
        <v>0</v>
      </c>
    </row>
    <row r="51" spans="2:10" x14ac:dyDescent="0.25">
      <c r="B51" s="5">
        <f t="shared" ref="B51:B56" ca="1" si="7">IFERROR(OFFSET(B51,-1,0,1,1)+1,"")</f>
        <v>47</v>
      </c>
      <c r="C51" s="6" t="s">
        <v>27</v>
      </c>
      <c r="D51" s="3" t="s">
        <v>13</v>
      </c>
      <c r="E51" s="7" t="s">
        <v>17</v>
      </c>
      <c r="F51" s="8">
        <v>2023</v>
      </c>
      <c r="G51" s="24">
        <v>0.35</v>
      </c>
      <c r="H51" s="26" t="str">
        <f t="shared" si="6"/>
        <v/>
      </c>
      <c r="J51" s="24">
        <v>0.35</v>
      </c>
    </row>
    <row r="52" spans="2:10" x14ac:dyDescent="0.25">
      <c r="B52" s="5">
        <f t="shared" ca="1" si="7"/>
        <v>48</v>
      </c>
      <c r="C52" s="6" t="s">
        <v>90</v>
      </c>
      <c r="D52" s="3" t="s">
        <v>13</v>
      </c>
      <c r="E52" s="7" t="s">
        <v>17</v>
      </c>
      <c r="F52" s="8">
        <v>2023</v>
      </c>
      <c r="G52" s="24">
        <v>0.35</v>
      </c>
      <c r="H52" s="26" t="str">
        <f>IF(G52-J52=0,"",ROUND(G52-J52,2)*100&amp;"% Better")</f>
        <v>22% Better</v>
      </c>
      <c r="J52" s="24">
        <v>0.13</v>
      </c>
    </row>
    <row r="53" spans="2:10" x14ac:dyDescent="0.25">
      <c r="B53" s="5">
        <f t="shared" ca="1" si="7"/>
        <v>49</v>
      </c>
      <c r="C53" s="6" t="s">
        <v>91</v>
      </c>
      <c r="D53" s="3" t="s">
        <v>19</v>
      </c>
      <c r="E53" s="7" t="s">
        <v>17</v>
      </c>
      <c r="F53" s="8">
        <v>2024</v>
      </c>
      <c r="G53" s="24">
        <v>0.15</v>
      </c>
      <c r="H53" s="26" t="str">
        <f>IF(G53-J53=0,"",ROUND(G53-J53,2)*100&amp;"% Better")</f>
        <v>15% Better</v>
      </c>
      <c r="J53" s="24">
        <v>0</v>
      </c>
    </row>
    <row r="54" spans="2:10" x14ac:dyDescent="0.25">
      <c r="B54" s="5">
        <f t="shared" ca="1" si="7"/>
        <v>50</v>
      </c>
      <c r="C54" s="6" t="s">
        <v>92</v>
      </c>
      <c r="D54" s="3" t="s">
        <v>19</v>
      </c>
      <c r="E54" s="7" t="s">
        <v>17</v>
      </c>
      <c r="F54" s="8">
        <v>2024</v>
      </c>
      <c r="G54" s="24">
        <v>0.28999999999999998</v>
      </c>
      <c r="H54" s="26" t="str">
        <f>IF(G54-J54=0,"",ROUND(G54-J54,2)*100&amp;"% Better")</f>
        <v>29% Better</v>
      </c>
      <c r="J54" s="24">
        <v>0</v>
      </c>
    </row>
    <row r="55" spans="2:10" x14ac:dyDescent="0.25">
      <c r="B55" s="5">
        <f t="shared" ca="1" si="7"/>
        <v>51</v>
      </c>
      <c r="C55" s="6" t="s">
        <v>93</v>
      </c>
      <c r="D55" s="3" t="s">
        <v>37</v>
      </c>
      <c r="E55" s="7" t="s">
        <v>17</v>
      </c>
      <c r="F55" s="8">
        <v>2024</v>
      </c>
      <c r="G55" s="24">
        <v>0.14000000000000001</v>
      </c>
      <c r="H55" s="26" t="str">
        <f>IF(G55-J55=0,"",ROUND(G55-J55,2)*100&amp;"% Better")</f>
        <v>14% Better</v>
      </c>
      <c r="J55" s="24">
        <v>0</v>
      </c>
    </row>
    <row r="56" spans="2:10" x14ac:dyDescent="0.25">
      <c r="B56" s="5">
        <f t="shared" ca="1" si="7"/>
        <v>52</v>
      </c>
      <c r="C56" s="6" t="s">
        <v>94</v>
      </c>
      <c r="D56" s="3" t="s">
        <v>37</v>
      </c>
      <c r="E56" s="7" t="s">
        <v>17</v>
      </c>
      <c r="F56" s="8">
        <v>2023</v>
      </c>
      <c r="G56" s="24">
        <v>0.5</v>
      </c>
      <c r="H56" s="26" t="str">
        <f>IF(G56-J56=0,"",ROUND(G56-J56,2)*100&amp;"% Better")</f>
        <v/>
      </c>
      <c r="J56" s="24">
        <v>0.5</v>
      </c>
    </row>
    <row r="57" spans="2:10" x14ac:dyDescent="0.25">
      <c r="B57" s="5">
        <f t="shared" ca="1" si="0"/>
        <v>53</v>
      </c>
      <c r="C57" s="6" t="s">
        <v>16</v>
      </c>
      <c r="D57" s="3" t="s">
        <v>13</v>
      </c>
      <c r="E57" s="7" t="s">
        <v>17</v>
      </c>
      <c r="F57" s="8">
        <v>2023</v>
      </c>
      <c r="G57" s="24">
        <v>0.32</v>
      </c>
      <c r="H57" s="26" t="str">
        <f t="shared" ref="H57:H70" si="8">IF(G57-J57=0,"",ROUND(G57-J57,2)*100&amp;"% Better")</f>
        <v/>
      </c>
      <c r="J57" s="24">
        <v>0.32</v>
      </c>
    </row>
    <row r="58" spans="2:10" x14ac:dyDescent="0.25">
      <c r="B58" s="5">
        <f t="shared" ca="1" si="0"/>
        <v>54</v>
      </c>
      <c r="C58" s="6" t="s">
        <v>20</v>
      </c>
      <c r="D58" s="3" t="s">
        <v>13</v>
      </c>
      <c r="E58" s="7" t="s">
        <v>17</v>
      </c>
      <c r="F58" s="8">
        <v>2023</v>
      </c>
      <c r="G58" s="24">
        <v>0.93</v>
      </c>
      <c r="H58" s="26" t="str">
        <f t="shared" si="8"/>
        <v/>
      </c>
      <c r="J58" s="24">
        <v>0.93</v>
      </c>
    </row>
    <row r="59" spans="2:10" x14ac:dyDescent="0.25">
      <c r="B59" s="5">
        <f t="shared" ca="1" si="0"/>
        <v>55</v>
      </c>
      <c r="C59" s="6" t="s">
        <v>21</v>
      </c>
      <c r="D59" s="3" t="s">
        <v>13</v>
      </c>
      <c r="E59" s="7" t="s">
        <v>17</v>
      </c>
      <c r="F59" s="8">
        <v>2023</v>
      </c>
      <c r="G59" s="24">
        <v>0.43</v>
      </c>
      <c r="H59" s="26" t="str">
        <f t="shared" si="8"/>
        <v/>
      </c>
      <c r="J59" s="24">
        <v>0.43</v>
      </c>
    </row>
    <row r="60" spans="2:10" x14ac:dyDescent="0.25">
      <c r="B60" s="5">
        <f t="shared" ca="1" si="0"/>
        <v>56</v>
      </c>
      <c r="C60" s="6" t="s">
        <v>26</v>
      </c>
      <c r="D60" s="3" t="s">
        <v>13</v>
      </c>
      <c r="E60" s="7" t="s">
        <v>17</v>
      </c>
      <c r="F60" s="8">
        <v>2023</v>
      </c>
      <c r="G60" s="24">
        <v>0.43</v>
      </c>
      <c r="H60" s="26" t="str">
        <f t="shared" si="8"/>
        <v/>
      </c>
      <c r="J60" s="24">
        <v>0.43</v>
      </c>
    </row>
    <row r="61" spans="2:10" x14ac:dyDescent="0.25">
      <c r="B61" s="5">
        <f ca="1">IFERROR(OFFSET(B61,-1,0,1,1)+1,"")</f>
        <v>57</v>
      </c>
      <c r="C61" s="6" t="s">
        <v>27</v>
      </c>
      <c r="D61" s="3" t="s">
        <v>13</v>
      </c>
      <c r="E61" s="7" t="s">
        <v>17</v>
      </c>
      <c r="F61" s="8">
        <v>2023</v>
      </c>
      <c r="G61" s="24">
        <v>0.35</v>
      </c>
      <c r="H61" s="26" t="str">
        <f t="shared" si="8"/>
        <v/>
      </c>
      <c r="J61" s="24">
        <v>0.35</v>
      </c>
    </row>
    <row r="62" spans="2:10" x14ac:dyDescent="0.25">
      <c r="B62" s="5">
        <f t="shared" ca="1" si="0"/>
        <v>58</v>
      </c>
      <c r="C62" s="6" t="s">
        <v>25</v>
      </c>
      <c r="D62" s="3" t="s">
        <v>19</v>
      </c>
      <c r="E62" s="7" t="s">
        <v>17</v>
      </c>
      <c r="F62" s="8">
        <v>2023</v>
      </c>
      <c r="G62" s="24">
        <v>0.4</v>
      </c>
      <c r="H62" s="26" t="str">
        <f t="shared" si="8"/>
        <v/>
      </c>
      <c r="J62" s="24">
        <v>0.4</v>
      </c>
    </row>
    <row r="63" spans="2:10" x14ac:dyDescent="0.25">
      <c r="B63" s="5">
        <f t="shared" ca="1" si="0"/>
        <v>59</v>
      </c>
      <c r="C63" s="6" t="s">
        <v>18</v>
      </c>
      <c r="D63" s="3" t="s">
        <v>19</v>
      </c>
      <c r="E63" s="7" t="s">
        <v>17</v>
      </c>
      <c r="F63" s="8">
        <v>2023</v>
      </c>
      <c r="G63" s="24">
        <v>0.31</v>
      </c>
      <c r="H63" s="26" t="str">
        <f t="shared" si="8"/>
        <v/>
      </c>
      <c r="J63" s="24">
        <v>0.31</v>
      </c>
    </row>
    <row r="64" spans="2:10" x14ac:dyDescent="0.25">
      <c r="B64" s="5">
        <f t="shared" ca="1" si="0"/>
        <v>60</v>
      </c>
      <c r="C64" s="6" t="s">
        <v>22</v>
      </c>
      <c r="D64" s="3" t="s">
        <v>11</v>
      </c>
      <c r="E64" s="7" t="s">
        <v>17</v>
      </c>
      <c r="F64" s="8">
        <v>2023</v>
      </c>
      <c r="G64" s="24">
        <v>0.24</v>
      </c>
      <c r="H64" s="26" t="str">
        <f t="shared" si="8"/>
        <v/>
      </c>
      <c r="J64" s="24">
        <v>0.24</v>
      </c>
    </row>
    <row r="65" spans="2:10" x14ac:dyDescent="0.25">
      <c r="B65" s="5">
        <f t="shared" ca="1" si="0"/>
        <v>61</v>
      </c>
      <c r="C65" s="6" t="s">
        <v>28</v>
      </c>
      <c r="D65" s="3" t="s">
        <v>29</v>
      </c>
      <c r="E65" s="7" t="s">
        <v>17</v>
      </c>
      <c r="F65" s="8">
        <v>2023</v>
      </c>
      <c r="G65" s="24">
        <v>0.38</v>
      </c>
      <c r="H65" s="26" t="str">
        <f t="shared" si="8"/>
        <v/>
      </c>
      <c r="J65" s="24">
        <v>0.38</v>
      </c>
    </row>
    <row r="66" spans="2:10" x14ac:dyDescent="0.25">
      <c r="B66" s="5">
        <f t="shared" ca="1" si="0"/>
        <v>62</v>
      </c>
      <c r="C66" s="6" t="s">
        <v>95</v>
      </c>
      <c r="D66" s="3" t="s">
        <v>40</v>
      </c>
      <c r="E66" s="7" t="s">
        <v>17</v>
      </c>
      <c r="F66" s="8">
        <v>2023</v>
      </c>
      <c r="G66" s="24">
        <v>0.39</v>
      </c>
      <c r="H66" s="26" t="str">
        <f t="shared" si="8"/>
        <v/>
      </c>
      <c r="J66" s="24">
        <v>0.39</v>
      </c>
    </row>
    <row r="67" spans="2:10" x14ac:dyDescent="0.25">
      <c r="B67" s="5">
        <f ca="1">IFERROR(OFFSET(B67,-1,0,1,1)+1,"")</f>
        <v>63</v>
      </c>
      <c r="C67" s="6" t="s">
        <v>96</v>
      </c>
      <c r="D67" s="3" t="s">
        <v>19</v>
      </c>
      <c r="E67" s="7" t="s">
        <v>17</v>
      </c>
      <c r="F67" s="8">
        <v>2023</v>
      </c>
      <c r="G67" s="24">
        <v>0.45</v>
      </c>
      <c r="H67" s="26" t="str">
        <f t="shared" si="8"/>
        <v/>
      </c>
      <c r="J67" s="24">
        <v>0.45</v>
      </c>
    </row>
    <row r="68" spans="2:10" x14ac:dyDescent="0.25">
      <c r="B68" s="5">
        <f t="shared" ca="1" si="0"/>
        <v>64</v>
      </c>
      <c r="C68" s="6" t="s">
        <v>97</v>
      </c>
      <c r="D68" s="3" t="s">
        <v>70</v>
      </c>
      <c r="E68" s="7" t="s">
        <v>17</v>
      </c>
      <c r="F68" s="8">
        <v>2023</v>
      </c>
      <c r="G68" s="24">
        <v>0.09</v>
      </c>
      <c r="H68" s="26" t="str">
        <f t="shared" si="8"/>
        <v/>
      </c>
      <c r="J68" s="24">
        <v>0.09</v>
      </c>
    </row>
    <row r="69" spans="2:10" x14ac:dyDescent="0.25">
      <c r="B69" s="5">
        <f t="shared" ca="1" si="0"/>
        <v>65</v>
      </c>
      <c r="C69" s="6" t="s">
        <v>98</v>
      </c>
      <c r="D69" s="3" t="s">
        <v>40</v>
      </c>
      <c r="E69" s="7" t="s">
        <v>17</v>
      </c>
      <c r="F69" s="8">
        <v>2023</v>
      </c>
      <c r="G69" s="24">
        <v>0.31</v>
      </c>
      <c r="H69" s="26" t="str">
        <f t="shared" si="8"/>
        <v/>
      </c>
      <c r="J69" s="24">
        <v>0.31</v>
      </c>
    </row>
    <row r="70" spans="2:10" x14ac:dyDescent="0.25">
      <c r="B70" s="5">
        <f t="shared" ca="1" si="0"/>
        <v>66</v>
      </c>
      <c r="C70" s="6" t="s">
        <v>99</v>
      </c>
      <c r="D70" s="3" t="s">
        <v>70</v>
      </c>
      <c r="E70" s="7" t="s">
        <v>17</v>
      </c>
      <c r="F70" s="8">
        <v>2023</v>
      </c>
      <c r="G70" s="24">
        <v>0.27</v>
      </c>
      <c r="H70" s="26" t="str">
        <f t="shared" si="8"/>
        <v/>
      </c>
      <c r="J70" s="24">
        <v>0.27</v>
      </c>
    </row>
  </sheetData>
  <pageMargins left="0.7" right="0.7" top="0.75" bottom="0.75" header="0.3" footer="0.3"/>
  <pageSetup scale="7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CourseraPlus_02</vt:lpstr>
      <vt:lpstr>CourseraPlus_Prev_01</vt:lpstr>
      <vt:lpstr>LinkedIn_Learning</vt:lpstr>
      <vt:lpstr>Coursera Records_</vt:lpstr>
      <vt:lpstr>Old_REF</vt:lpstr>
      <vt:lpstr>CourseraPlus_02!Print_Area</vt:lpstr>
      <vt:lpstr>CourseraPlus_Prev_01!Print_Area</vt:lpstr>
      <vt:lpstr>Old_REF!Print_Area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SYED</dc:creator>
  <cp:lastModifiedBy>Syed Meesam Ali</cp:lastModifiedBy>
  <dcterms:created xsi:type="dcterms:W3CDTF">2022-06-27T19:23:45Z</dcterms:created>
  <dcterms:modified xsi:type="dcterms:W3CDTF">2025-12-30T20:58:44Z</dcterms:modified>
</cp:coreProperties>
</file>